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ohamroy/Documents/work/GM Improvement/"/>
    </mc:Choice>
  </mc:AlternateContent>
  <xr:revisionPtr revIDLastSave="0" documentId="13_ncr:1_{801DEC7B-C75B-8546-9634-5B7F8B28AF33}" xr6:coauthVersionLast="47" xr6:coauthVersionMax="47" xr10:uidLastSave="{00000000-0000-0000-0000-000000000000}"/>
  <bookViews>
    <workbookView xWindow="28800" yWindow="-680" windowWidth="36900" windowHeight="18680" activeTab="2" xr2:uid="{00000000-000D-0000-FFFF-FFFF00000000}"/>
  </bookViews>
  <sheets>
    <sheet name="README" sheetId="1" r:id="rId1"/>
    <sheet name="Master Action List" sheetId="2" r:id="rId2"/>
    <sheet name="Customer &amp; Coupon Analysis" sheetId="3" r:id="rId3"/>
    <sheet name="Coupon Rules &amp; Definitions" sheetId="4" r:id="rId4"/>
    <sheet name="Price-Coupon Stacking Risk" sheetId="5" r:id="rId5"/>
    <sheet name="VIP Gold ASP Strategy" sheetId="6" r:id="rId6"/>
    <sheet name="Price - Action List" sheetId="7" r:id="rId7"/>
    <sheet name="DoD Cadence Tracker" sheetId="8" r:id="rId8"/>
    <sheet name="Appendix - Price Full Detail" sheetId="9" r:id="rId9"/>
  </sheets>
  <definedNames>
    <definedName name="_xlnm._FilterDatabase" localSheetId="1" hidden="1">'Master Action List'!$A$1:$I$42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<sst xmlns="http://schemas.openxmlformats.org/spreadsheetml/2006/main" count="3711" uniqueCount="1065">
  <si>
    <t>V5 -- GM Improvement Model: Price + Coupon + Channel + Segment (simplified, real coupon linkage)</t>
  </si>
  <si>
    <t>Generated 2026-08-18 | Base data: online_discount_summary__raw_Aug17MTD.xlsx (clean window Aug 1-16, 51,701 bookings) | Full methodology: V5_Methodology.md</t>
  </si>
  <si>
    <t>This is a rebuild, not an add-on. Two things changed the model this round: the raw data export now carries coupon_code directly on every booking (no more name-matching workaround), and you supplied the real coupon CRM settings (MOV, discount%, upper limit%) plus the ADDFAMILY family-add-on logic. Both let this version measure things V4 could only proxy.</t>
  </si>
  <si>
    <t>CORRECTION FROM V4 -- read this before trusting old numbers: V4's coupon depth-vs-margin curve (from a smaller, 8-day window with no direct coupon-to-package link) showed 30%+-depth coupons collapsing to ~1% GM and called FREEDOM50 a near-giveaway. On this larger, directly-linked dataset, that does NOT hold: FREEDOM50's real GM% is 47.9% -- low relative to the book average, but nowhere near the earlier alarm. The V4 number was a small-sample artifact of the workaround method, not a real cliff. Full explanation in V5_Methodology.md section 2.</t>
  </si>
  <si>
    <t>Tab count is down from V4's 13 to 9 -- coupon-related tabs consolidated from 4 into 2 (Customer &amp; Coupon Analysis, Coupon Rules &amp; Definitions) per the simplification you asked for.</t>
  </si>
  <si>
    <t>Tabs</t>
  </si>
  <si>
    <t>1. Master Action List -- ranked Price + Coupon + Channel actions.</t>
  </si>
  <si>
    <t>2. Customer &amp; Coupon Analysis -- Fresh/Repeat x Regular/VIP/VIP-Gold x Channel, with top coupons per segment (merges old Segment Diagnostic + Coupon Channel Diagnostic + WoW Scorecard).</t>
  </si>
  <si>
    <t>3. Coupon Rules &amp; Definitions -- master coupon table (CRM settings + ADDFAMILY logic), MOV compliance check, corrected depth-vs-margin curve.</t>
  </si>
  <si>
    <t>4. Price-Coupon Stacking Risk -- rebuilt with real coupon_code x package_code join, now names the actual top coupon driving each flagged package.</t>
  </si>
  <si>
    <t>5. VIP Gold ASP Strategy -- carried forward from V4, key GM% figures refreshed.</t>
  </si>
  <si>
    <t>6. Price - Action List -- unchanged from V4 (no new price/MoM pull this round).</t>
  </si>
  <si>
    <t>7. DoD Cadence Tracker -- extended to 16 clean daily rows (was 7).</t>
  </si>
  <si>
    <t>8. Appendix - Price Full Detail -- all 365 packages, audit trail.</t>
  </si>
  <si>
    <t>Lever</t>
  </si>
  <si>
    <t>Code</t>
  </si>
  <si>
    <t>Item</t>
  </si>
  <si>
    <t>Recommended Action</t>
  </si>
  <si>
    <t>Weekly GM$ Impact (Rs)</t>
  </si>
  <si>
    <t>Confidence</t>
  </si>
  <si>
    <t>Stacking Risk (price rows)</t>
  </si>
  <si>
    <t>Owner (fill in)</t>
  </si>
  <si>
    <t>Week</t>
  </si>
  <si>
    <t>CHANNEL</t>
  </si>
  <si>
    <t>Sales</t>
  </si>
  <si>
    <t>Sales (telecaller) channel discount discipline</t>
  </si>
  <si>
    <t>Bring Sales avg discount % (14.1%) toward Self-channel benchmark (9.8%)</t>
  </si>
  <si>
    <t>Directional -- sizes the gap, overlaps with existing V3 Lever 1, DO NOT double-count</t>
  </si>
  <si>
    <t>N/A - channel/policy lever</t>
  </si>
  <si>
    <t>Sun 16 - Sat 22 Aug 2026</t>
  </si>
  <si>
    <t>COUPON</t>
  </si>
  <si>
    <t>SAVEBIGGER25</t>
  </si>
  <si>
    <t>SAVEBIGGER25 campaign</t>
  </si>
  <si>
    <t>Scale up -- growing WoW at acceptable margin (16% depth, ~70% GM zone)</t>
  </si>
  <si>
    <t>LOW -- projects a 2-data-point WoW trend forward, refine next week</t>
  </si>
  <si>
    <t>N/A - coupon lever</t>
  </si>
  <si>
    <t>FREEDOM50</t>
  </si>
  <si>
    <t>PRICE</t>
  </si>
  <si>
    <t>PL11</t>
  </si>
  <si>
    <t>Smart Full Body Checkup</t>
  </si>
  <si>
    <t>Cut price 14.7%</t>
  </si>
  <si>
    <t>Measured (see Price workbook)</t>
  </si>
  <si>
    <t>MEDIUM -- high coupon exposure, monitor stacking</t>
  </si>
  <si>
    <t>BC082</t>
  </si>
  <si>
    <t>Apolipoprotein B Test</t>
  </si>
  <si>
    <t>Cut price 14.4%</t>
  </si>
  <si>
    <t>LOW</t>
  </si>
  <si>
    <t>PL124I</t>
  </si>
  <si>
    <t>Fit India Full Body Checkup with Free HbA1c</t>
  </si>
  <si>
    <t>Cut price 15.1%</t>
  </si>
  <si>
    <t>HIGH -- price cut on already heavily-discounted package</t>
  </si>
  <si>
    <t>BC075</t>
  </si>
  <si>
    <t>Vitamin D Test (25-Hydroxy)</t>
  </si>
  <si>
    <t>PL334</t>
  </si>
  <si>
    <t>Fit India Full Body Checkup - Essential</t>
  </si>
  <si>
    <t>Cut price 15.3%</t>
  </si>
  <si>
    <t>HM022</t>
  </si>
  <si>
    <t>Prothrombin Time (PT INR) Test</t>
  </si>
  <si>
    <t>Cut price 14.6%</t>
  </si>
  <si>
    <t>HM007</t>
  </si>
  <si>
    <t>Complete Blood Count (CBC) Test</t>
  </si>
  <si>
    <t>Cut price 14.2%</t>
  </si>
  <si>
    <t>PL121</t>
  </si>
  <si>
    <t>Vital Screening Package</t>
  </si>
  <si>
    <t>Cut price 14.9%</t>
  </si>
  <si>
    <t>PL08I</t>
  </si>
  <si>
    <t>Fever Package - Advance</t>
  </si>
  <si>
    <t>MI058</t>
  </si>
  <si>
    <t>Urine Culture (Automated) Test</t>
  </si>
  <si>
    <t>PL40</t>
  </si>
  <si>
    <t>Vitamin Profile (Vitamin D &amp; B12)</t>
  </si>
  <si>
    <t>Cut price 15.5%</t>
  </si>
  <si>
    <t>BC063</t>
  </si>
  <si>
    <t>Thyroid Profile Total</t>
  </si>
  <si>
    <t>Raise price 11.1%</t>
  </si>
  <si>
    <t>LOW -- price increase on lightly-discounted package (clean)</t>
  </si>
  <si>
    <t>BC074</t>
  </si>
  <si>
    <t>Vitamin B12 Test</t>
  </si>
  <si>
    <t>Cut price 15.7%</t>
  </si>
  <si>
    <t>PL103</t>
  </si>
  <si>
    <t>STD Panel Essential</t>
  </si>
  <si>
    <t>PL109</t>
  </si>
  <si>
    <t>Prime Full body Check Up</t>
  </si>
  <si>
    <t>Cut price 15.6%</t>
  </si>
  <si>
    <t>BC035</t>
  </si>
  <si>
    <t>HBA1C Test</t>
  </si>
  <si>
    <t>Raise price 9.2%</t>
  </si>
  <si>
    <t>PL246F</t>
  </si>
  <si>
    <t>One Plus One Fit India Full Body Checkup With Vitamin Screening with Free HsCRP</t>
  </si>
  <si>
    <t>Raise price 5.0%</t>
  </si>
  <si>
    <t>BC062</t>
  </si>
  <si>
    <t>Thyroid Profile Free Test</t>
  </si>
  <si>
    <t>PL203</t>
  </si>
  <si>
    <t>Vitamins &amp; Mineral Screening Package</t>
  </si>
  <si>
    <t>PL91</t>
  </si>
  <si>
    <t>Smart Full Body Checkup with CRP Test</t>
  </si>
  <si>
    <t>BC023</t>
  </si>
  <si>
    <t>Blood Sugar Fasting</t>
  </si>
  <si>
    <t>Raise price 16.4%</t>
  </si>
  <si>
    <t>HM051</t>
  </si>
  <si>
    <t>Hemoglobin Variant Analysis Test (HPLC Test)</t>
  </si>
  <si>
    <t>BC012</t>
  </si>
  <si>
    <t>Calcium, Serum</t>
  </si>
  <si>
    <t>SE019</t>
  </si>
  <si>
    <t>Widal Test (Slide Agglutination)</t>
  </si>
  <si>
    <t>SE133</t>
  </si>
  <si>
    <t>HIV 1&amp;2 Antibodies Test by CMIA Method</t>
  </si>
  <si>
    <t>Raise price 10.8%</t>
  </si>
  <si>
    <t>BC061</t>
  </si>
  <si>
    <t>Testosterone Total Test</t>
  </si>
  <si>
    <t>Cut price 9.8%</t>
  </si>
  <si>
    <t>BC350</t>
  </si>
  <si>
    <t>Cortisol Morning Sample Test</t>
  </si>
  <si>
    <t>SE339</t>
  </si>
  <si>
    <t>Viral Markers Rapid Test</t>
  </si>
  <si>
    <t>Raise price 5.3%</t>
  </si>
  <si>
    <t>HM012</t>
  </si>
  <si>
    <t>Hemoglobin (Hb) Test</t>
  </si>
  <si>
    <t>Raise price 13.2%</t>
  </si>
  <si>
    <t>BC180</t>
  </si>
  <si>
    <t>Immunoglobulin IgE (IgE Total), Serum</t>
  </si>
  <si>
    <t>Cut price 9.3%</t>
  </si>
  <si>
    <t>HM013</t>
  </si>
  <si>
    <t>Complete Hemogram (CBC &amp; ESR)</t>
  </si>
  <si>
    <t>Raise price 4.7%</t>
  </si>
  <si>
    <t>BC034</t>
  </si>
  <si>
    <t>Blood Sugar Random</t>
  </si>
  <si>
    <t>Raise price 8.3%</t>
  </si>
  <si>
    <t>BC047</t>
  </si>
  <si>
    <t>Magnesium Test</t>
  </si>
  <si>
    <t>Cut price 9.5%</t>
  </si>
  <si>
    <t>BC033</t>
  </si>
  <si>
    <t>Blood Sugar Post Prandial (PP)</t>
  </si>
  <si>
    <t>Raise price 1.3%</t>
  </si>
  <si>
    <t>BC040</t>
  </si>
  <si>
    <t>Iron Test</t>
  </si>
  <si>
    <t>Cut price 9.0%</t>
  </si>
  <si>
    <t>BC017</t>
  </si>
  <si>
    <t>Creatinine, Serum</t>
  </si>
  <si>
    <t>Raise price 4.8%</t>
  </si>
  <si>
    <t>ADD006</t>
  </si>
  <si>
    <t>Testosterone Total  Test</t>
  </si>
  <si>
    <t>Raise price 4.0%</t>
  </si>
  <si>
    <t>No data</t>
  </si>
  <si>
    <t>HM010</t>
  </si>
  <si>
    <t>ESR Test</t>
  </si>
  <si>
    <t>Raise price 3.0%</t>
  </si>
  <si>
    <t>BC019</t>
  </si>
  <si>
    <t>Electrolytes (Na/K/Cl) Test</t>
  </si>
  <si>
    <t>Cut price 11.2%</t>
  </si>
  <si>
    <t>TOTAL -- PRICE + COUPON only (Channel excluded, overlaps V3 Lever 1)</t>
  </si>
  <si>
    <t xml:space="preserve">  of which PRICE</t>
  </si>
  <si>
    <t xml:space="preserve">  of which COUPON</t>
  </si>
  <si>
    <t>MEMO -- CHANNEL (Sales discount gap, do not sum into total above)</t>
  </si>
  <si>
    <t>Price rows carried from the price elasticity model (unchanged this round -- no new price/MoM data supplied). Coupon/Channel rows should be re-sized against the corrected numbers in 'Coupon Rules &amp; Definitions' before next execution -- FREEDOM50's opportunity estimate here is stale (based on the V4 depth-cliff error) and should be dropped or recomputed, not acted on as-is.</t>
  </si>
  <si>
    <t>Fresh/Repeat x Customer Category -- Aug 1-16, 2026 (51,701 bookings)</t>
  </si>
  <si>
    <t>Fresh/Repeat</t>
  </si>
  <si>
    <t>Category</t>
  </si>
  <si>
    <t>Bookings</t>
  </si>
  <si>
    <t>Net Revenue (Rs)</t>
  </si>
  <si>
    <t>Gross Margin (Rs)</t>
  </si>
  <si>
    <t>GM %</t>
  </si>
  <si>
    <t>Avg Members/Booking</t>
  </si>
  <si>
    <t>Coupon Penetration %</t>
  </si>
  <si>
    <t>Avg Total Discount %</t>
  </si>
  <si>
    <t>Revenue Share %</t>
  </si>
  <si>
    <t>Fresh</t>
  </si>
  <si>
    <t>regular</t>
  </si>
  <si>
    <t>vip</t>
  </si>
  <si>
    <t>vip gold</t>
  </si>
  <si>
    <t>Repeat</t>
  </si>
  <si>
    <t>+ Channel breakdown</t>
  </si>
  <si>
    <t>Channel</t>
  </si>
  <si>
    <t>Self</t>
  </si>
  <si>
    <t>Phlebo</t>
  </si>
  <si>
    <t>Top 5 coupons used, by customer category</t>
  </si>
  <si>
    <t>customer_category</t>
  </si>
  <si>
    <t>coupon_code</t>
  </si>
  <si>
    <t>n</t>
  </si>
  <si>
    <t>SAVEBIG15</t>
  </si>
  <si>
    <t>SAVEBIGGER20</t>
  </si>
  <si>
    <t>SAVEBIGGER22</t>
  </si>
  <si>
    <t>SAVEBIG20</t>
  </si>
  <si>
    <t>WELCOME500</t>
  </si>
  <si>
    <t>GAMBHIR20X</t>
  </si>
  <si>
    <t>Master Coupon Rules -- from CRM settings export + ADDFAMILY logic (manually documented, not in CRM export)</t>
  </si>
  <si>
    <t>Coupon Code</t>
  </si>
  <si>
    <t>MOV</t>
  </si>
  <si>
    <t>Type</t>
  </si>
  <si>
    <t>Discount</t>
  </si>
  <si>
    <t>Upper Limit Percentage</t>
  </si>
  <si>
    <t>Valid once per user</t>
  </si>
  <si>
    <t>Is Red Cash</t>
  </si>
  <si>
    <t>Created By</t>
  </si>
  <si>
    <t>ONEPLUSONE5</t>
  </si>
  <si>
    <t>percentage</t>
  </si>
  <si>
    <t>No</t>
  </si>
  <si>
    <t>GAMBHIR20</t>
  </si>
  <si>
    <t>SAVEBIG22</t>
  </si>
  <si>
    <t>ARTHRITIS21</t>
  </si>
  <si>
    <t>MONSOON15</t>
  </si>
  <si>
    <t>BONUS20</t>
  </si>
  <si>
    <t>HEALTHCHECK15</t>
  </si>
  <si>
    <t>ONEBANC10</t>
  </si>
  <si>
    <t>TejpalKothari_CorpAdmin</t>
  </si>
  <si>
    <t>FIRST100</t>
  </si>
  <si>
    <t>amount</t>
  </si>
  <si>
    <t>SENIOR15</t>
  </si>
  <si>
    <t>FEVER20</t>
  </si>
  <si>
    <t>VITD15</t>
  </si>
  <si>
    <t>SYSTEM</t>
  </si>
  <si>
    <t>VITB15</t>
  </si>
  <si>
    <t>THYROID15</t>
  </si>
  <si>
    <t>CAREPLUS15</t>
  </si>
  <si>
    <t>QADUMMY</t>
  </si>
  <si>
    <t>REPEAT10</t>
  </si>
  <si>
    <t>SPECIAL26</t>
  </si>
  <si>
    <t>COMP10169775ISH</t>
  </si>
  <si>
    <t>rcl-vishal</t>
  </si>
  <si>
    <t>9990716</t>
  </si>
  <si>
    <t>Atuldhaiya_sla</t>
  </si>
  <si>
    <t>FIRST10</t>
  </si>
  <si>
    <t>Arjun15</t>
  </si>
  <si>
    <t>Arjun5</t>
  </si>
  <si>
    <t>RCLFAMILY40</t>
  </si>
  <si>
    <t>SALE5</t>
  </si>
  <si>
    <t>Gaurav_SL</t>
  </si>
  <si>
    <t>OPR5</t>
  </si>
  <si>
    <t>OPR15</t>
  </si>
  <si>
    <t>KartikayJohariPM</t>
  </si>
  <si>
    <t>SALE15</t>
  </si>
  <si>
    <t>CUS007</t>
  </si>
  <si>
    <t>Yes</t>
  </si>
  <si>
    <t>SALE20</t>
  </si>
  <si>
    <t>SALE10</t>
  </si>
  <si>
    <t>OPR20</t>
  </si>
  <si>
    <t>OPR10</t>
  </si>
  <si>
    <t>OPR05</t>
  </si>
  <si>
    <t>SALE05</t>
  </si>
  <si>
    <t>JITO20</t>
  </si>
  <si>
    <t>WELCOME150</t>
  </si>
  <si>
    <t>ADDFAMILY2NYNNN</t>
  </si>
  <si>
    <t>AUTO (family add-on)</t>
  </si>
  <si>
    <t>ADDFAMILY3NYNNN</t>
  </si>
  <si>
    <t>ADDFAMILY4NYNNN</t>
  </si>
  <si>
    <t>ADDFAMILY5NYNNN</t>
  </si>
  <si>
    <t>ADDFAMILY family add-on logic (per your definition, verified against Aug1-16 data)</t>
  </si>
  <si>
    <t>ADDFAMILY2NYNNN -- adds 1 member to an existing booking of 1 (2 total), max 20% discount. If VIP is also active, coupon+VIP combined is capped at 20% total, not additive. VERIFIED: avg Total_Discount% = 20.2% (n=1,066), avg members/booking = 1.99, 72.7% also carry a VIP discount, 87.2% Self-channel.</t>
  </si>
  <si>
    <t>ADDFAMILY3NYNNN -- adds to 3 total members, max 25% combined. VERIFIED: avg Total_Discount% = 25.1% (n=363), avg members = 2.99, 63.9% VIP-stacked, 53.7% Self-channel.</t>
  </si>
  <si>
    <t>ADDFAMILY4NYNNN / 5NYNNN and beyond -- 4+ total members, max 30% combined. VERIFIED: avg Total_Discount% = 30.1% (n=217, ADDFAMILY4), avg members = 4.13, 58.1% VIP-stacked, 42.4% Self-channel.</t>
  </si>
  <si>
    <t>Pattern: as family size grows, the booking shifts from Self-driven (87% at 2-member) toward Sales-assisted (58% at 4-member) -- larger multi-member bookings apparently need more assisted checkout. This is a fresh/repeat growth driver, not leakage: it's a structured, capped mechanic that grows basket size (total_member) predictably and the discount is proportionate to the incremental members added, not a flat giveaway.</t>
  </si>
  <si>
    <t>MOV compliance check -- bookings priced BELOW the coupon's own stated minimum order value</t>
  </si>
  <si>
    <t>offer_price here is the per-booking package price, not necessarily full cart value -- a genuine MOV breach needs cart-level data to confirm. Flagged as an investigation item, not a confirmed leak.</t>
  </si>
  <si>
    <t>bookings</t>
  </si>
  <si>
    <t>pct_bookings_below_stated_mov</t>
  </si>
  <si>
    <t>CORRECTED depth-vs-margin curve (Aug 1-16, isolated coupon-only bookings, n=51,701 base)</t>
  </si>
  <si>
    <t>This SUPERSEDES the V4 curve. V4 (8-day window, no direct coupon link) showed a cliff to ~1% GM at 30%+ depth. On this larger, directly-linked sample, the decline is real but gradual, not a cliff.</t>
  </si>
  <si>
    <t>Depth Tier</t>
  </si>
  <si>
    <t>Revenue (Rs)</t>
  </si>
  <si>
    <t>GM (Rs)</t>
  </si>
  <si>
    <t>0% - no discount</t>
  </si>
  <si>
    <t>1-10%</t>
  </si>
  <si>
    <t>10-20%</t>
  </si>
  <si>
    <t>20-30%</t>
  </si>
  <si>
    <t>30-40%</t>
  </si>
  <si>
    <t>40%+</t>
  </si>
  <si>
    <t>Real campaign-level GM% -- top 20 by volume (Aug 1-16, directly linked via coupon_code)</t>
  </si>
  <si>
    <t>Real GM %</t>
  </si>
  <si>
    <t>Avg Members</t>
  </si>
  <si>
    <t>Fresh %</t>
  </si>
  <si>
    <t>Self %</t>
  </si>
  <si>
    <t>MOV (Rs)</t>
  </si>
  <si>
    <t>Upper Limit %</t>
  </si>
  <si>
    <t>In CRM Master?</t>
  </si>
  <si>
    <t>SAVEBIG25</t>
  </si>
  <si>
    <t>FITINDIA15</t>
  </si>
  <si>
    <t>FITINDIA20</t>
  </si>
  <si>
    <t>FEVER15</t>
  </si>
  <si>
    <t>Package Code</t>
  </si>
  <si>
    <t>Package Name</t>
  </si>
  <si>
    <t>Price Change %</t>
  </si>
  <si>
    <t>Projected Weekly GM$ (price model)</t>
  </si>
  <si>
    <t>Bookings (Aug1-16)</t>
  </si>
  <si>
    <t>Top Coupon Used</t>
  </si>
  <si>
    <t>Top Coupon Bookings</t>
  </si>
  <si>
    <t>Risk Flag</t>
  </si>
  <si>
    <t>18156406FOC</t>
  </si>
  <si>
    <t>LOW -- clean, price increase on lightly-discounted package</t>
  </si>
  <si>
    <t>THYROIDCARE10</t>
  </si>
  <si>
    <t>18238649</t>
  </si>
  <si>
    <t>18312362FOC</t>
  </si>
  <si>
    <t>18096169FOC</t>
  </si>
  <si>
    <t>18111900FOC</t>
  </si>
  <si>
    <t>No data (Aug1-16)</t>
  </si>
  <si>
    <t>18178849FOC</t>
  </si>
  <si>
    <t>VIP Gold ASP Strategy -- sourced from external deepdive (Aug MTD, Jun-Aug WoW), fact-checked and connected to V4</t>
  </si>
  <si>
    <t>V5 REFRESH NOTE: this content is carried from V4. Segment GM% figures below (from the Jul26-Aug2 8-day window) are LOWER than the Aug1-16 Customer &amp; Coupon Analysis tab's numbers for the same segments (e.g. Repeat VIP-Gold GM% was 59.8% in V4, now 69.0% on the larger Aug1-16 sample) -- the smaller window appears to have been a lower-margin period, not representative. Directional findings (VIP Gold gets shallower coupons, Phlebo ancillary attach gap, price-cut stacking risk) still hold; specific GM% figures should be re-pulled from the Customer &amp; Coupon Analysis tab before being quoted externally.</t>
  </si>
  <si>
    <t>Origin: a separate 'VIP Gold users deepdive' analysis (11-week WoW, Jun 1 - Aug 10) was fact-checked against this model's raw booking data (Jul26-Aug2 window) and cross-referenced with the Price, Coupon, and Segment tabs below.</t>
  </si>
  <si>
    <t>Fact-check verdict</t>
  </si>
  <si>
    <t>A prior memo ('Gemini memo') claimed August VIP transactions are operationally unprofitable, based on treating diagnostic_cost/express_slot/report_hardcopy_cost as company costs. They are customer-paid, waivable FEES, not costs -- cpt is the only real cost field (established in V4 Methodology section 2). That memo's 'Phlebo Revolt' framing is REJECTED.</t>
  </si>
  <si>
    <t>Independently verified on this model's own Jul26-Aug2 raw data: VIP-discount-only (isolated, no coupon stacked) bookings run 70.96% GM% -- healthy, not unprofitable. The deepdive's own number (76.6%, broader Aug MTD window) points the same direction; the ~6pp gap is a window/definition difference, not a disagreement.</t>
  </si>
  <si>
    <t>Also independently confirmed: RedCash burn in VIP Gold is ~Rs 0 (exact match), members/booking trending up (1.213 in this window vs the deepdive's 1.17-&gt;1.22 WoW trend), and CPT% of price for VIP+coupon stacked bookings at 24.9% (deepdive: 24.5-26.7% range).</t>
  </si>
  <si>
    <t>What V4 adds that the deepdive couldn't see</t>
  </si>
  <si>
    <t>FINDING A -- Ancillary attach is channel-dependent and Phlebo is a dead zone: for VIP Gold specifically, Phlebo-channel bookings run 0% express-slot AND 0% hardcopy attach (vs Self 4.1%/1.0%, Sales 3.4%/0.4%). The deepdive's #1 recommendation (ancillary fee push) should start at the Self/app cart stage where some attach already exists to build on -- Phlebo needs a different, separate fix (or a check on whether the offer is even technically available at that touchpoint).</t>
  </si>
  <si>
    <t>FINDING B -- 5 of the 6 Price-lever 'stacking risk' packages are VIP-Gold-heavy: PL124I (48% VIP Gold share), PL08I (35%), PL334 (33%), PL91 (37%), PL203 (34%) all appear on the Price-Coupon Stacking Risk tab (already-discounted packages flagged for a price cut). A price cut on these doesn't just risk generic coupon stacking -- it specifically compounds against the segment this strategy is trying to protect margin on. See Action #6 below.</t>
  </si>
  <si>
    <t>FINDING C -- V4's own Segment Diagnostic already showed VIP Gold gets meaningfully SHALLOWER coupons than Regular (8.7-10.1% vs ~20% depth) -- structurally consistent with the deepdive's caution against a hard discount cliff: VIP Gold's margin problem was never primarily discount depth, which supports prioritizing the low-risk ancillary/basket levers (deepdive's #1, #2) well ahead of the discount-tiering pilot (#3).</t>
  </si>
  <si>
    <t>Integrated action plan</t>
  </si>
  <si>
    <t>#</t>
  </si>
  <si>
    <t>Objective</t>
  </si>
  <si>
    <t>KPI</t>
  </si>
  <si>
    <t>Horizon</t>
  </si>
  <si>
    <t>Risk</t>
  </si>
  <si>
    <t>Source</t>
  </si>
  <si>
    <t>Ancillary fee attach push -- Self/app cart stage first (has existing attach to build on); Phlebo needs separate fix</t>
  </si>
  <si>
    <t>Ancillary rev/booking Rs 64 -&gt; Rs 85+</t>
  </si>
  <si>
    <t>3 weeks</t>
  </si>
  <si>
    <t>Low -- no margin trade-off</t>
  </si>
  <si>
    <t>Deepdive #1, sharpened by V4 Finding A</t>
  </si>
  <si>
    <t>Family add-on forcing -- discount structured on 2nd+ member, not flat on cart</t>
  </si>
  <si>
    <t>Members/booking 1.22 -&gt; 1.35+</t>
  </si>
  <si>
    <t>30 days</t>
  </si>
  <si>
    <t>Low</t>
  </si>
  <si>
    <t>Deepdive #2, confirmed by V4 members/booking check</t>
  </si>
  <si>
    <t>Soft basket tiering pilot -- graduated VIP%, not a hard cliff, 2-3 cities only</t>
  </si>
  <si>
    <t>Blended ASP/booking</t>
  </si>
  <si>
    <t>2-week pilot</t>
  </si>
  <si>
    <t>Medium -- VIP-only segment already runs 70-77% GM%, protect it</t>
  </si>
  <si>
    <t>Deepdive #3, adjusted from Gemini original</t>
  </si>
  <si>
    <t>Stacked-segment CPT investigation -- why CPT% rose in VIP+coupon bookings (24.9-26.7% range)</t>
  </si>
  <si>
    <t>Identify test/package driver</t>
  </si>
  <si>
    <t>1 week</t>
  </si>
  <si>
    <t>Low -- diagnostic only</t>
  </si>
  <si>
    <t>Deepdive #4</t>
  </si>
  <si>
    <t>Fresh-member funnel check -- fresh share fell 30.8%-&gt;25.7% over 11 weeks</t>
  </si>
  <si>
    <t>Fresh% stabilize &gt;=28%</t>
  </si>
  <si>
    <t>4 weeks</t>
  </si>
  <si>
    <t>Ties to broader retention issue</t>
  </si>
  <si>
    <t>Deepdive #5</t>
  </si>
  <si>
    <t>HOLD 5 VIP-Gold-heavy price cuts until #4 resolves -- PL124I (48% VG share), PL08I (35%), PL334 (33%), PL91 (37%), PL203 (34%)</t>
  </si>
  <si>
    <t>No premature GM erosion on largest segment</t>
  </si>
  <si>
    <t>Pending #4</t>
  </si>
  <si>
    <t>Medium -- these are on this week's Price Action List</t>
  </si>
  <si>
    <t>NEW -- V4 Finding B</t>
  </si>
  <si>
    <t>Sequencing</t>
  </si>
  <si>
    <t>Run #1 and #4 first -- pure analysis/config, zero customer-facing risk, and #1 alone plausibly recovers more ASP than any discount edit given the size of the ancillary drop. Apply #6 immediately (it's a hold, not new work). Only pilot #3 once #4 shows whether the stacked-segment margin issue is cost-side (leave discount alone) or genuinely discount-side (then tiering earns its place).</t>
  </si>
  <si>
    <t>Open item from the deepdive worth chasing</t>
  </si>
  <si>
    <t>ASP decline in the deepdive's WoW table starts in early-mid June, before the paid-VIP/MOV-removal transition (~1.5 months prior to mid-Aug). Jun1-&gt;Jun8 alone drops ASP/member -12%. The membership-switch story explains the July-August leg but not the full decline -- worth a quick look at what changed operationally in early June before attributing the whole slide to the paywall change.</t>
  </si>
  <si>
    <t>Current Price (Rs)</t>
  </si>
  <si>
    <t>Current Weekly Bookings</t>
  </si>
  <si>
    <t>Recommended Price (Rs)</t>
  </si>
  <si>
    <t>Elasticity Used</t>
  </si>
  <si>
    <t>Breakeven Elasticity</t>
  </si>
  <si>
    <t>Confidence Tier</t>
  </si>
  <si>
    <t>Elasticity Source</t>
  </si>
  <si>
    <t># Price Events Observed</t>
  </si>
  <si>
    <t>Projected Weekly Bookings</t>
  </si>
  <si>
    <t>Cost/Booking (Rs)</t>
  </si>
  <si>
    <t>Cost Source</t>
  </si>
  <si>
    <t>Current Weekly GM (Rs)</t>
  </si>
  <si>
    <t>Projected Weekly GM (Rs)</t>
  </si>
  <si>
    <t>Weekly GM Delta (Rs)</t>
  </si>
  <si>
    <t>Funnel CR Cross-Check</t>
  </si>
  <si>
    <t>package</t>
  </si>
  <si>
    <t>C</t>
  </si>
  <si>
    <t>peer_price_tier</t>
  </si>
  <si>
    <t>measured_jul26_aug2</t>
  </si>
  <si>
    <t>consistent</t>
  </si>
  <si>
    <t>test</t>
  </si>
  <si>
    <t>A</t>
  </si>
  <si>
    <t>measured</t>
  </si>
  <si>
    <t>B</t>
  </si>
  <si>
    <t>no_funnel_data</t>
  </si>
  <si>
    <t>check</t>
  </si>
  <si>
    <t>blended_70pct_fallback</t>
  </si>
  <si>
    <t>TOTAL PROJECTED WEEKLY GM UPLIFT</t>
  </si>
  <si>
    <t>TOTAL PROJECTED WEEKLY GM UPLIFT (Filtered)</t>
  </si>
  <si>
    <t>Day-on-Day Cadence Tracker -- extended to Aug 1-16 (16 clean days, was 7 in V4)</t>
  </si>
  <si>
    <t>Extend this table each time a fresh raw export arrives -- paste new daily rows below, same columns. At 4+ weeks this supports real day-of-week control and a proper coupon elasticity read instead of the cross-sectional depth curve used today.</t>
  </si>
  <si>
    <t>Date</t>
  </si>
  <si>
    <t>Fresh Bookings</t>
  </si>
  <si>
    <t>Repeat Bookings</t>
  </si>
  <si>
    <t>VIP-Gold Bookings</t>
  </si>
  <si>
    <t>Self Bookings</t>
  </si>
  <si>
    <t>Sales Bookings</t>
  </si>
  <si>
    <t>Phlebo Bookings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</si>
  <si>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</si>
  <si>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</si>
  <si>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</si>
  <si>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</si>
  <si>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</si>
  <si>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</si>
  <si>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</si>
  <si>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</si>
  <si>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</si>
  <si>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</si>
  <si>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</si>
  <si>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</si>
  <si>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</si>
  <si>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</si>
  <si>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</si>
  <si>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</si>
  <si>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Monthly Bookings (latest complete month)</t>
  </si>
  <si>
    <t>Weekly Bookings</t>
  </si>
  <si>
    <t>Price Tier</t>
  </si>
  <si>
    <t># Price Events</t>
  </si>
  <si>
    <t>Measured Elasticity (if any)</t>
  </si>
  <si>
    <t>GM% (Jul26-Aug2, if matched)</t>
  </si>
  <si>
    <t>ADD001</t>
  </si>
  <si>
    <t>Thyroid Profile Total Test</t>
  </si>
  <si>
    <t>300-600</t>
  </si>
  <si>
    <t>ADD002</t>
  </si>
  <si>
    <t>HbA1c Test</t>
  </si>
  <si>
    <t>ADD004</t>
  </si>
  <si>
    <t>Blood Group  Test</t>
  </si>
  <si>
    <t>peer_overall_type</t>
  </si>
  <si>
    <t>ADD005</t>
  </si>
  <si>
    <t>CRP Test (C Reactive Protein)</t>
  </si>
  <si>
    <t>ADD007</t>
  </si>
  <si>
    <t>Ferritin  Test</t>
  </si>
  <si>
    <t>ADD008</t>
  </si>
  <si>
    <t>Vitamin D 25 Hydroxy Test</t>
  </si>
  <si>
    <t>ADD009</t>
  </si>
  <si>
    <t>Vitamin B12  Test</t>
  </si>
  <si>
    <t>ADD010</t>
  </si>
  <si>
    <t>Rheumatoid Factor Quantitative (RA Factor) Test</t>
  </si>
  <si>
    <t>ADD011</t>
  </si>
  <si>
    <t>IgE Total (Immunoglobulin IgE) Test</t>
  </si>
  <si>
    <t>ADD012</t>
  </si>
  <si>
    <t>Iron Studies  Test</t>
  </si>
  <si>
    <t>ADD014</t>
  </si>
  <si>
    <t>CEA (Carcinoembryonic Antigen) Test</t>
  </si>
  <si>
    <t>ADD015</t>
  </si>
  <si>
    <t>PSA Total (Prostate Specific Antigen) Test</t>
  </si>
  <si>
    <t>ADD017</t>
  </si>
  <si>
    <t>CA 125 (Ovarian Cancer Marker) Test</t>
  </si>
  <si>
    <t>ADD021</t>
  </si>
  <si>
    <t>Insulin Fasting  Test</t>
  </si>
  <si>
    <t>ADD024</t>
  </si>
  <si>
    <t>Magnesium  Test</t>
  </si>
  <si>
    <t>&lt;300</t>
  </si>
  <si>
    <t>ADD025</t>
  </si>
  <si>
    <t>Apolipoprotein B (Apo B) Test</t>
  </si>
  <si>
    <t>ADD026</t>
  </si>
  <si>
    <t>Cortisol, Morning Sample Test</t>
  </si>
  <si>
    <t>B2CCR</t>
  </si>
  <si>
    <t>B2C Camp Random</t>
  </si>
  <si>
    <t>BC005</t>
  </si>
  <si>
    <t>Amylase Test</t>
  </si>
  <si>
    <t>BC009</t>
  </si>
  <si>
    <t>Blood Urea Test</t>
  </si>
  <si>
    <t>BC011</t>
  </si>
  <si>
    <t>Ca 125 (Ovarian Cancer Marker)</t>
  </si>
  <si>
    <t>1000-1500</t>
  </si>
  <si>
    <t>BC012A</t>
  </si>
  <si>
    <t>Free Calcium Test</t>
  </si>
  <si>
    <t>BC015</t>
  </si>
  <si>
    <t>CRP Test (C Reactive Protein Test)</t>
  </si>
  <si>
    <t>BC016</t>
  </si>
  <si>
    <t>Creatine Phosphokinase (CPK) Test</t>
  </si>
  <si>
    <t>BC021</t>
  </si>
  <si>
    <t>Estimated Glomerular Filtration Rate (eGFR) Test</t>
  </si>
  <si>
    <t>BC022</t>
  </si>
  <si>
    <t>Estradiol Test (E2)</t>
  </si>
  <si>
    <t>600-1000</t>
  </si>
  <si>
    <t>BC024</t>
  </si>
  <si>
    <t>Ferritin Test</t>
  </si>
  <si>
    <t>BC025</t>
  </si>
  <si>
    <t>Folic Acid Test</t>
  </si>
  <si>
    <t>BC026</t>
  </si>
  <si>
    <t>Follicle Stimulating Hormone FSH Test</t>
  </si>
  <si>
    <t>BC028</t>
  </si>
  <si>
    <t>FT4 &amp; TSH 3rd Gen Panel</t>
  </si>
  <si>
    <t>BC029</t>
  </si>
  <si>
    <t>FT4 (Free Thyroxine 4) Test</t>
  </si>
  <si>
    <t>BC032A</t>
  </si>
  <si>
    <t>Glucose Tolerance Test (GTT 2)</t>
  </si>
  <si>
    <t>BC032B</t>
  </si>
  <si>
    <t>Glucose Challenge Test (GCT)- 75 Grams Of Glucose</t>
  </si>
  <si>
    <t>BC036</t>
  </si>
  <si>
    <t>Female Hormones Screening (LH, FSH, PRL)</t>
  </si>
  <si>
    <t>BC037</t>
  </si>
  <si>
    <t>Insulin Fasting Test</t>
  </si>
  <si>
    <t>BC038</t>
  </si>
  <si>
    <t>Insulin PP (Post Prandial) Test</t>
  </si>
  <si>
    <t>BC040A</t>
  </si>
  <si>
    <t>Free Iron Test</t>
  </si>
  <si>
    <t>BC041</t>
  </si>
  <si>
    <t>Iron Studies Test</t>
  </si>
  <si>
    <t>BC042</t>
  </si>
  <si>
    <t>Lactate Dehydrogenase (LDH), Serum Test</t>
  </si>
  <si>
    <t>BC043</t>
  </si>
  <si>
    <t>FSH &amp; LH Test</t>
  </si>
  <si>
    <t>BC048</t>
  </si>
  <si>
    <t>Microalbumin - Creatinine Ratio, Spot Urine</t>
  </si>
  <si>
    <t>BC050</t>
  </si>
  <si>
    <t>Potassium Test</t>
  </si>
  <si>
    <t>BC052</t>
  </si>
  <si>
    <t>Prolactin Test (PRL)</t>
  </si>
  <si>
    <t>BC053</t>
  </si>
  <si>
    <t>Prostate Specific Antigen (PSA) Total Test</t>
  </si>
  <si>
    <t>BC054</t>
  </si>
  <si>
    <t>Protein / Creatinine Ratio, Spot Urine</t>
  </si>
  <si>
    <t>BC055</t>
  </si>
  <si>
    <t>KFT Urine Routine Test</t>
  </si>
  <si>
    <t>BC057</t>
  </si>
  <si>
    <t>SGOT / AST Test</t>
  </si>
  <si>
    <t>BC058</t>
  </si>
  <si>
    <t>Sodium Test</t>
  </si>
  <si>
    <t>BC060</t>
  </si>
  <si>
    <t>Testosterone Free And Total</t>
  </si>
  <si>
    <t>1500-2500</t>
  </si>
  <si>
    <t>BC064</t>
  </si>
  <si>
    <t>Cholesterol Test</t>
  </si>
  <si>
    <t>BC071</t>
  </si>
  <si>
    <t>TSH, Ultrasensitive</t>
  </si>
  <si>
    <t>BC072</t>
  </si>
  <si>
    <t>Uric Acid Test</t>
  </si>
  <si>
    <t>BC075A</t>
  </si>
  <si>
    <t>Vitamin D Screening Test</t>
  </si>
  <si>
    <t>BC080</t>
  </si>
  <si>
    <t>Anti Thyroid Peroxidase Antibodies (TPO) Test</t>
  </si>
  <si>
    <t>BC094</t>
  </si>
  <si>
    <t>C Peptide Fasting Test</t>
  </si>
  <si>
    <t>BC098</t>
  </si>
  <si>
    <t>CA 72.4 Test</t>
  </si>
  <si>
    <t>BC105</t>
  </si>
  <si>
    <t>Carcinoembryonic Antigen (CEA) Test</t>
  </si>
  <si>
    <t>BC127</t>
  </si>
  <si>
    <t>Creatine Kinase MB Test</t>
  </si>
  <si>
    <t>BC131</t>
  </si>
  <si>
    <t>Cystatin C Test</t>
  </si>
  <si>
    <t>BC133</t>
  </si>
  <si>
    <t>DHEA-S (Dehydroepiandrosterone Sulphate)</t>
  </si>
  <si>
    <t>BC138</t>
  </si>
  <si>
    <t>Double Marker Test- First Trimester</t>
  </si>
  <si>
    <t>BC169</t>
  </si>
  <si>
    <t>Growth Hormone (GH) Test</t>
  </si>
  <si>
    <t>BC173</t>
  </si>
  <si>
    <t>High-Sensitivity C-Reactive Protein (hsCRP ) Test</t>
  </si>
  <si>
    <t>BC178</t>
  </si>
  <si>
    <t>Beta HCG Total, Maternal (Pregnancy) Test</t>
  </si>
  <si>
    <t>BC188</t>
  </si>
  <si>
    <t>Immunoglobulin A (IgA) Test</t>
  </si>
  <si>
    <t>BC205</t>
  </si>
  <si>
    <t>Lipase Test</t>
  </si>
  <si>
    <t>BC206</t>
  </si>
  <si>
    <t>Lipoprotein (A) Test</t>
  </si>
  <si>
    <t>BC227</t>
  </si>
  <si>
    <t>NT Pro BNP</t>
  </si>
  <si>
    <t>2500+</t>
  </si>
  <si>
    <t>BC233</t>
  </si>
  <si>
    <t>Parathyroid hormone PTH Test</t>
  </si>
  <si>
    <t>BC244</t>
  </si>
  <si>
    <t>Progesterone Test</t>
  </si>
  <si>
    <t>BC245</t>
  </si>
  <si>
    <t>Prostate Specific Antigen (PSA) Free Test</t>
  </si>
  <si>
    <t>BC248</t>
  </si>
  <si>
    <t>Quadruple Marker Test</t>
  </si>
  <si>
    <t>BC261</t>
  </si>
  <si>
    <t>Testosterone Free Test</t>
  </si>
  <si>
    <t>BC265</t>
  </si>
  <si>
    <t>Thyroid Antibodies Panel (Anti TPO, Anti TG) Test</t>
  </si>
  <si>
    <t>BC269</t>
  </si>
  <si>
    <t>High Sensitivity Troponin I Test</t>
  </si>
  <si>
    <t>BC270</t>
  </si>
  <si>
    <t>High Sensitivity Troponin T Test</t>
  </si>
  <si>
    <t>BC284</t>
  </si>
  <si>
    <t>Zinc Test</t>
  </si>
  <si>
    <t>BC29</t>
  </si>
  <si>
    <t>Glucose Tolerance Test (GTT 3)</t>
  </si>
  <si>
    <t>BC295</t>
  </si>
  <si>
    <t>SGPT / ALT Test</t>
  </si>
  <si>
    <t>BC317</t>
  </si>
  <si>
    <t>Angiotensin Converting Enzyme (ACE) Test</t>
  </si>
  <si>
    <t>BC318</t>
  </si>
  <si>
    <t>Anti Cyclic Citrullinated Peptide Antibodies Test (Anti CCP)</t>
  </si>
  <si>
    <t>BC319</t>
  </si>
  <si>
    <t>Anti Mullerian hormone AMH Test</t>
  </si>
  <si>
    <t>BC327</t>
  </si>
  <si>
    <t>Fecal Calprotectin Test</t>
  </si>
  <si>
    <t>BC339</t>
  </si>
  <si>
    <t>Homocysteine Test</t>
  </si>
  <si>
    <t>BC352</t>
  </si>
  <si>
    <t>Bile Acids Total Test</t>
  </si>
  <si>
    <t>BC353</t>
  </si>
  <si>
    <t>Apolipoproteins B &amp; A1 Profile or Ratio Test</t>
  </si>
  <si>
    <t>BC360</t>
  </si>
  <si>
    <t>Kidney Function Test (KFT)</t>
  </si>
  <si>
    <t>BC381</t>
  </si>
  <si>
    <t>Calcium Ionised Serum Test</t>
  </si>
  <si>
    <t>BC421</t>
  </si>
  <si>
    <t>PSA Profile</t>
  </si>
  <si>
    <t>BC445</t>
  </si>
  <si>
    <t>HOMA Index Insulin Resistance Test</t>
  </si>
  <si>
    <t>BC445A</t>
  </si>
  <si>
    <t>HOMA- IR With C Peptide Test</t>
  </si>
  <si>
    <t>BC446</t>
  </si>
  <si>
    <t>Tumor Marker Alpha Fetoprotein (AFP)</t>
  </si>
  <si>
    <t>BC471</t>
  </si>
  <si>
    <t>Lipid Profile Test</t>
  </si>
  <si>
    <t>BC474</t>
  </si>
  <si>
    <t>Bicarbonate Test</t>
  </si>
  <si>
    <t>BC479</t>
  </si>
  <si>
    <t>Drugs Of Abuse Urine: Nicotine / Cotinine Test</t>
  </si>
  <si>
    <t>BC485</t>
  </si>
  <si>
    <t>Cholesterol Profile</t>
  </si>
  <si>
    <t>BC503</t>
  </si>
  <si>
    <t>Vitamin D Advanced (D2, D3 &amp; D Total)</t>
  </si>
  <si>
    <t>CAMP001C</t>
  </si>
  <si>
    <t>Health Camp Package (Random)</t>
  </si>
  <si>
    <t>CAMP001D</t>
  </si>
  <si>
    <t>Health Camp Package (Fasting)</t>
  </si>
  <si>
    <t>CAMP012A</t>
  </si>
  <si>
    <t>Free Glucose Fasting Test</t>
  </si>
  <si>
    <t>CAMP013A</t>
  </si>
  <si>
    <t>Free Glucose Random Test</t>
  </si>
  <si>
    <t>CG030</t>
  </si>
  <si>
    <t>Chromosome Analysis (Karyotype), Blood</t>
  </si>
  <si>
    <t>CP007</t>
  </si>
  <si>
    <t>Stool Occult Blood Test</t>
  </si>
  <si>
    <t>CP009</t>
  </si>
  <si>
    <t>Stool Routine &amp; Microscopic Examination</t>
  </si>
  <si>
    <t>CP011</t>
  </si>
  <si>
    <t>Urine Pregnancy Test (UPT)</t>
  </si>
  <si>
    <t>CP012</t>
  </si>
  <si>
    <t>Urine Routine &amp; Microscopic Examination Test</t>
  </si>
  <si>
    <t>DRCHINTAM</t>
  </si>
  <si>
    <t>DC Autoimmune Care (101 Parameters)</t>
  </si>
  <si>
    <t>HM001</t>
  </si>
  <si>
    <t>Absolute Eosinophil Count (AEC) Test</t>
  </si>
  <si>
    <t>HM003</t>
  </si>
  <si>
    <t>Activated Partial Thromboplastin Time (APTT) Test</t>
  </si>
  <si>
    <t>HM004</t>
  </si>
  <si>
    <t>Blood Group Test</t>
  </si>
  <si>
    <t>HM006A</t>
  </si>
  <si>
    <t>Coagulation Panel Test</t>
  </si>
  <si>
    <t>HM015</t>
  </si>
  <si>
    <t>Indirect Coombs (ICT) Serum Test</t>
  </si>
  <si>
    <t>HM016</t>
  </si>
  <si>
    <t>Malaria Antigen Detection Test (Rapid)</t>
  </si>
  <si>
    <t>HM017</t>
  </si>
  <si>
    <t>Malaria Parasite Test (MP) Smear</t>
  </si>
  <si>
    <t>HM021</t>
  </si>
  <si>
    <t>Platelet Count Test</t>
  </si>
  <si>
    <t>HM023</t>
  </si>
  <si>
    <t>Reticulocyte Count Test</t>
  </si>
  <si>
    <t>HM038</t>
  </si>
  <si>
    <t>D Dimer Test</t>
  </si>
  <si>
    <t>HM052</t>
  </si>
  <si>
    <t>HLA B27 (Flow Cytometry) Test</t>
  </si>
  <si>
    <t>HM084</t>
  </si>
  <si>
    <t>CBC with PS Test</t>
  </si>
  <si>
    <t>HM100</t>
  </si>
  <si>
    <t>Peripheral Blood Smear Test</t>
  </si>
  <si>
    <t>HPLC Variant</t>
  </si>
  <si>
    <t>LC005</t>
  </si>
  <si>
    <t>Lifecare Health Gold Plus Package</t>
  </si>
  <si>
    <t>LC024</t>
  </si>
  <si>
    <t>Lifecare Silver Health Package</t>
  </si>
  <si>
    <t>MD111</t>
  </si>
  <si>
    <t>Covid RT PCR Test</t>
  </si>
  <si>
    <t>MI001</t>
  </si>
  <si>
    <t>AFB Stain Test (Acid Fast Bacilli)</t>
  </si>
  <si>
    <t>MI015</t>
  </si>
  <si>
    <t>Urine Culture Test</t>
  </si>
  <si>
    <t>MI021</t>
  </si>
  <si>
    <t>Blood Culture &amp; Sensitivity, Bactec Test</t>
  </si>
  <si>
    <t>MI033</t>
  </si>
  <si>
    <t>Genexpert Ultra MTB/RIF Test</t>
  </si>
  <si>
    <t>MI034</t>
  </si>
  <si>
    <t>Helicobacter Pylori Antigen Detection Test</t>
  </si>
  <si>
    <t>PL01</t>
  </si>
  <si>
    <t>Anemia Profile- Essential</t>
  </si>
  <si>
    <t>PL02</t>
  </si>
  <si>
    <t>Antenatal Care Profile (ANC)- Essential</t>
  </si>
  <si>
    <t>PL08A</t>
  </si>
  <si>
    <t>Fever Panel- Basic</t>
  </si>
  <si>
    <t>PL08AD</t>
  </si>
  <si>
    <t>Fever Package- Basic</t>
  </si>
  <si>
    <t>PL08H</t>
  </si>
  <si>
    <t>Fever Package - Essential</t>
  </si>
  <si>
    <t>PL08J</t>
  </si>
  <si>
    <t>Fever Package - Comprehensive</t>
  </si>
  <si>
    <t>PL08S</t>
  </si>
  <si>
    <t>Fever Package Advance Plus</t>
  </si>
  <si>
    <t>PL101</t>
  </si>
  <si>
    <t>Smart Full Body checkup with PSA test</t>
  </si>
  <si>
    <t>PL102</t>
  </si>
  <si>
    <t>Smart Full Body checkup with Total IgE</t>
  </si>
  <si>
    <t>PL103A</t>
  </si>
  <si>
    <t>STD Panel Advance</t>
  </si>
  <si>
    <t>PL103B</t>
  </si>
  <si>
    <t>STD Panel Comprehensive</t>
  </si>
  <si>
    <t>PL105</t>
  </si>
  <si>
    <t>Special Full Body Package</t>
  </si>
  <si>
    <t>PL106D</t>
  </si>
  <si>
    <t>Winter Advance Care Package</t>
  </si>
  <si>
    <t>PL114</t>
  </si>
  <si>
    <t>BP Monitoring Package- Essential</t>
  </si>
  <si>
    <t>PL115</t>
  </si>
  <si>
    <t>Cancer Screening Package Essential - Female</t>
  </si>
  <si>
    <t>PL115A</t>
  </si>
  <si>
    <t>Cancer Screening Package Advance - Female</t>
  </si>
  <si>
    <t>PL115B</t>
  </si>
  <si>
    <t>Cancer Advance Profile - 2 (Female)</t>
  </si>
  <si>
    <t>PL115C</t>
  </si>
  <si>
    <t>Cancer Screening Profile - 2 (Female)</t>
  </si>
  <si>
    <t>PL116</t>
  </si>
  <si>
    <t>Cancer Screening Package Essential - Male</t>
  </si>
  <si>
    <t>PL116A</t>
  </si>
  <si>
    <t>Cancer Screening Package Advance - Male</t>
  </si>
  <si>
    <t>PL119</t>
  </si>
  <si>
    <t>Iron Studies with Ferritin Test</t>
  </si>
  <si>
    <t>PL11A</t>
  </si>
  <si>
    <t>One-Plus-One Smart Full Body Checkup</t>
  </si>
  <si>
    <t>PL11B</t>
  </si>
  <si>
    <t>Smart Pro Full Body Checkup</t>
  </si>
  <si>
    <t>PL11F</t>
  </si>
  <si>
    <t>Winter Care Package</t>
  </si>
  <si>
    <t>PL12</t>
  </si>
  <si>
    <t>Smart Plus Full Body Checkup</t>
  </si>
  <si>
    <t>PL121D</t>
  </si>
  <si>
    <t>Vital Screening Package - Lite</t>
  </si>
  <si>
    <t>PL121K</t>
  </si>
  <si>
    <t>Vital Screening package with Thyroid</t>
  </si>
  <si>
    <t>PL121L</t>
  </si>
  <si>
    <t>Vital Screening Package - Plus</t>
  </si>
  <si>
    <t>PL122</t>
  </si>
  <si>
    <t>Swasth Bharat Full Body Checkup</t>
  </si>
  <si>
    <t>PL124</t>
  </si>
  <si>
    <t>Fit India Full Body Checkup</t>
  </si>
  <si>
    <t>PL124A</t>
  </si>
  <si>
    <t>One-Plus-One Fit India Full Body Checkup</t>
  </si>
  <si>
    <t>PL124D</t>
  </si>
  <si>
    <t>Fit India Full Body Checkup with Free Vitamin D</t>
  </si>
  <si>
    <t>PL124E</t>
  </si>
  <si>
    <t>Smart Plus Full Body Checkup with Vitamin Screening &amp; Free Heart Risk Assessment (HsCRP)</t>
  </si>
  <si>
    <t>PL124F</t>
  </si>
  <si>
    <t>Fit India Full Body Checkup with Vitamin B12</t>
  </si>
  <si>
    <t>PL124G</t>
  </si>
  <si>
    <t>Fit India Full Body Checkup with Vitamin D</t>
  </si>
  <si>
    <t>PL124K</t>
  </si>
  <si>
    <t>One Plus One Fit India Full Body Checkup with Free HbA1c</t>
  </si>
  <si>
    <t>PL125</t>
  </si>
  <si>
    <t>Fit India Full Body checkup with Vitamin Screening</t>
  </si>
  <si>
    <t>PL127</t>
  </si>
  <si>
    <t>Summer Special Advance Package</t>
  </si>
  <si>
    <t>PL128</t>
  </si>
  <si>
    <t>StayFit Full Body Checkup - Male</t>
  </si>
  <si>
    <t>PL128A</t>
  </si>
  <si>
    <t>Stay Fit Plus Full Body Checkup With Free RA Factor - Female</t>
  </si>
  <si>
    <t>PL128B</t>
  </si>
  <si>
    <t>Stay Fit Pro Full Body Checkup - Male</t>
  </si>
  <si>
    <t>PL128C</t>
  </si>
  <si>
    <t>Stay Fit Ultra Full Body Checkup - Male</t>
  </si>
  <si>
    <t>PL128F</t>
  </si>
  <si>
    <t>StayFit Platinum Full Body Checkup Package - Male</t>
  </si>
  <si>
    <t>PL129</t>
  </si>
  <si>
    <t>StayFit Full Body Checkup - Female</t>
  </si>
  <si>
    <t>PL129A</t>
  </si>
  <si>
    <t>Stay Fit Plus Full Body Checkup With Free RA Factor - Male</t>
  </si>
  <si>
    <t>PL129B</t>
  </si>
  <si>
    <t>Stay Fit Pro Full Body Checkup - Female</t>
  </si>
  <si>
    <t>PL129C</t>
  </si>
  <si>
    <t>Stay Fit Ultra Full Body Checkup - Female</t>
  </si>
  <si>
    <t>PL129E</t>
  </si>
  <si>
    <t>StayFit Platinum Full Body Checkup Package - Female</t>
  </si>
  <si>
    <t>PL134</t>
  </si>
  <si>
    <t>Father's Special Care Package</t>
  </si>
  <si>
    <t>PL134D</t>
  </si>
  <si>
    <t>Grandma's Special Care Package</t>
  </si>
  <si>
    <t>PL134E</t>
  </si>
  <si>
    <t>Grandpa's Special care package</t>
  </si>
  <si>
    <t>PL134F</t>
  </si>
  <si>
    <t>One Plus One Mother's Special Advance Care Package</t>
  </si>
  <si>
    <t>PL134G</t>
  </si>
  <si>
    <t>Mother's Special Essential Care Package</t>
  </si>
  <si>
    <t>PL134I</t>
  </si>
  <si>
    <t>Mother's Special Comprehensive Care Package</t>
  </si>
  <si>
    <t>PL137A</t>
  </si>
  <si>
    <t>Hirsutism Panel - Essential</t>
  </si>
  <si>
    <t>PL138</t>
  </si>
  <si>
    <t>Anemia Profile- Advance Package</t>
  </si>
  <si>
    <t>PL139</t>
  </si>
  <si>
    <t>Obesity Panel</t>
  </si>
  <si>
    <t>PL13A</t>
  </si>
  <si>
    <t>Advance Full Body Health Check Package with Thyroid Panel</t>
  </si>
  <si>
    <t>PL13B</t>
  </si>
  <si>
    <t>Advance Full Body Checkup With Cancer Screening- Male</t>
  </si>
  <si>
    <t>PL13C</t>
  </si>
  <si>
    <t>Advance Full Body Checkup With Cancer Screening- Female</t>
  </si>
  <si>
    <t>PL13E</t>
  </si>
  <si>
    <t>Advance Full Body Checkup With Alcohol Impact Assessment</t>
  </si>
  <si>
    <t>PL13F</t>
  </si>
  <si>
    <t>Advance Full Body Checkup with STD Panel Comprehensive</t>
  </si>
  <si>
    <t>PL13G</t>
  </si>
  <si>
    <t>One Plus One Advance Full Body Checkup</t>
  </si>
  <si>
    <t>PL13H</t>
  </si>
  <si>
    <t>Advance Full Body Checkup with Free Heart Test (HsCRP)</t>
  </si>
  <si>
    <t>PL14</t>
  </si>
  <si>
    <t>Advance Plus Full Body Checkup</t>
  </si>
  <si>
    <t>PL140A</t>
  </si>
  <si>
    <t>OvaScreen Test</t>
  </si>
  <si>
    <t>PL140B</t>
  </si>
  <si>
    <t>OvaScreen Advanced Panel</t>
  </si>
  <si>
    <t>PL145C</t>
  </si>
  <si>
    <t>MotherHealth Gold Package</t>
  </si>
  <si>
    <t>PL147A</t>
  </si>
  <si>
    <t>Cardiac Risk Markers- Essential</t>
  </si>
  <si>
    <t>PL147B</t>
  </si>
  <si>
    <t>Cardiac Risk Markers- Advanced</t>
  </si>
  <si>
    <t>PL147C</t>
  </si>
  <si>
    <t>Cardiac Profile - Essential</t>
  </si>
  <si>
    <t>PL147D</t>
  </si>
  <si>
    <t>Cardiac Profile - Advance</t>
  </si>
  <si>
    <t>PL147E</t>
  </si>
  <si>
    <t>Cardiac Profile - Comprehensive</t>
  </si>
  <si>
    <t>PL14A</t>
  </si>
  <si>
    <t>One-Plus-One Advance Plus Full Body Checkup</t>
  </si>
  <si>
    <t>PL14B</t>
  </si>
  <si>
    <t>Advance Plus Full Body Checkup with Free Heart Test (HsCRP)</t>
  </si>
  <si>
    <t>PL15</t>
  </si>
  <si>
    <t>Super Advance Full Body Checkup Male</t>
  </si>
  <si>
    <t>PL150</t>
  </si>
  <si>
    <t>Acute Hepatitis Marker Profile</t>
  </si>
  <si>
    <t>PL15A</t>
  </si>
  <si>
    <t>Master Full Body Checkup Package - Male</t>
  </si>
  <si>
    <t>PL15B</t>
  </si>
  <si>
    <t>Master Pro Full Body Checkup - Male</t>
  </si>
  <si>
    <t>PL16A</t>
  </si>
  <si>
    <t>Master Full Body Checkup Package - Women</t>
  </si>
  <si>
    <t>PL175B</t>
  </si>
  <si>
    <t>Thyroid profile advance</t>
  </si>
  <si>
    <t>PL175D</t>
  </si>
  <si>
    <t>Thyroid Screening Panel</t>
  </si>
  <si>
    <t>PL179</t>
  </si>
  <si>
    <t>Gastro care package</t>
  </si>
  <si>
    <t>PL179A</t>
  </si>
  <si>
    <t>Pancreas Profile</t>
  </si>
  <si>
    <t>PL17A</t>
  </si>
  <si>
    <t>Pre Diabetic Screening Package</t>
  </si>
  <si>
    <t>PL17B</t>
  </si>
  <si>
    <t>Diabetes Profile- Essential</t>
  </si>
  <si>
    <t>PL17C</t>
  </si>
  <si>
    <t>Diabetes Profile- Advance with Free HsCRP</t>
  </si>
  <si>
    <t>PL17D</t>
  </si>
  <si>
    <t>Diabetes Profile- Comprehensive with Free HsCRP</t>
  </si>
  <si>
    <t>PL17E</t>
  </si>
  <si>
    <t>Diabetic Care Package</t>
  </si>
  <si>
    <t>PL180</t>
  </si>
  <si>
    <t>Annual health Checkup Package</t>
  </si>
  <si>
    <t>PL180C</t>
  </si>
  <si>
    <t>Annual Health Checkup- Advance with Free HsCRP</t>
  </si>
  <si>
    <t>PL180D</t>
  </si>
  <si>
    <t>Annual Health Checkup- Advance Plus with Free HsCRP</t>
  </si>
  <si>
    <t>PL181</t>
  </si>
  <si>
    <t>Vegetarians Health Checkup</t>
  </si>
  <si>
    <t>PL199B</t>
  </si>
  <si>
    <t>Full Body Checkup With Urine Culture &amp; Sensitivity Test</t>
  </si>
  <si>
    <t>PL204</t>
  </si>
  <si>
    <t>Urinary Tract Infection Panel</t>
  </si>
  <si>
    <t>PL206</t>
  </si>
  <si>
    <t>Lipid &amp; Diabetes Monitoring Test</t>
  </si>
  <si>
    <t>PL207</t>
  </si>
  <si>
    <t>Nutritional Anaemia Package</t>
  </si>
  <si>
    <t>PL212</t>
  </si>
  <si>
    <t>Summer Special Comprehensive Package</t>
  </si>
  <si>
    <t>PL213C</t>
  </si>
  <si>
    <t>Couple Health Checkup Package Comprehensive</t>
  </si>
  <si>
    <t>PL214B</t>
  </si>
  <si>
    <t>Executive Full Body Checkup - Male (Advance)</t>
  </si>
  <si>
    <t>PL214E</t>
  </si>
  <si>
    <t>Executive Full Body Checkup - Female (Advance)</t>
  </si>
  <si>
    <t>PL215</t>
  </si>
  <si>
    <t>Urine Profile</t>
  </si>
  <si>
    <t>PL219A</t>
  </si>
  <si>
    <t>GYM Pre Screening Panel</t>
  </si>
  <si>
    <t>PL219B</t>
  </si>
  <si>
    <t>GYM Fitness Health Checkup - Male</t>
  </si>
  <si>
    <t>PL21B</t>
  </si>
  <si>
    <t>Arthritis Package - Essential</t>
  </si>
  <si>
    <t>PL21C</t>
  </si>
  <si>
    <t>Arthritis Package - Advance</t>
  </si>
  <si>
    <t>PL226D</t>
  </si>
  <si>
    <t>Preconception Screening Package - Female</t>
  </si>
  <si>
    <t>PL238</t>
  </si>
  <si>
    <t>Vitamin Profile Comprehensive</t>
  </si>
  <si>
    <t>PL24</t>
  </si>
  <si>
    <t>Antenatal Care Profile (ANC)- Advance</t>
  </si>
  <si>
    <t>PL246A</t>
  </si>
  <si>
    <t>Diabetes Special Care Package - Essential with Free HsCRP</t>
  </si>
  <si>
    <t>PL246E</t>
  </si>
  <si>
    <t>Fit India Full Body Checkup With Vitamin Screening with Free Heart Test (HsCRP)</t>
  </si>
  <si>
    <t>PL246H</t>
  </si>
  <si>
    <t>Fit India Plus Full Body Checkup With Vitamin Screening with Free Heart Test (HsCRP)</t>
  </si>
  <si>
    <t>PL249C</t>
  </si>
  <si>
    <t>Winter Special offer with Free Cardiac Screening</t>
  </si>
  <si>
    <t>PL24A</t>
  </si>
  <si>
    <t>Antenatal Care Profile (ANC) - Comprehensive</t>
  </si>
  <si>
    <t>PL266</t>
  </si>
  <si>
    <t>Kids Total Care Health Checkup- Essential</t>
  </si>
  <si>
    <t>PL267</t>
  </si>
  <si>
    <t>Nutritional Insights Complete Care Package</t>
  </si>
  <si>
    <t>PL268C</t>
  </si>
  <si>
    <t>Couple's Special Full Body Package with Free Heart Health Checkup</t>
  </si>
  <si>
    <t>PL269B</t>
  </si>
  <si>
    <t>Women Health Package with Free Hormone Screening- Advanced</t>
  </si>
  <si>
    <t>PL287</t>
  </si>
  <si>
    <t>Basic Health Screening Package</t>
  </si>
  <si>
    <t>PL290</t>
  </si>
  <si>
    <t>Fever Check Package (Dengue, Chikungunya, Malaria, Typhoid)</t>
  </si>
  <si>
    <t>PL309</t>
  </si>
  <si>
    <t>Fit India Full Body checkup with Vitamin Screening (Non Fasting)</t>
  </si>
  <si>
    <t>PL315</t>
  </si>
  <si>
    <t>Fit India Full Body Checkup With Vitamin Screening with Free HsCRP (Non Fasting)</t>
  </si>
  <si>
    <t>PL333</t>
  </si>
  <si>
    <t>Fit India Full Body Checkup With Vitamin Screening and Free Iron Studies</t>
  </si>
  <si>
    <t>PL334A</t>
  </si>
  <si>
    <t>Fit India Full Body Checkup - Advance</t>
  </si>
  <si>
    <t>PL334B</t>
  </si>
  <si>
    <t>Fit India Full Body Checkup - Comprehensive</t>
  </si>
  <si>
    <t>PL335C</t>
  </si>
  <si>
    <t>Super Health Full Body Checkup - Comprehensive (Male)</t>
  </si>
  <si>
    <t>PL335F</t>
  </si>
  <si>
    <t>Super Health Full Body Checkup - Comprehensive (Female)</t>
  </si>
  <si>
    <t>PL338A</t>
  </si>
  <si>
    <t>Medicine Overuse Package</t>
  </si>
  <si>
    <t>PL338B</t>
  </si>
  <si>
    <t>Medicine Overuse Package - Extended</t>
  </si>
  <si>
    <t>PL341B</t>
  </si>
  <si>
    <t>Annual Full Body Checkup - Advance</t>
  </si>
  <si>
    <t>PL347</t>
  </si>
  <si>
    <t>Women's Essential Screening with Free Thyroid</t>
  </si>
  <si>
    <t>PL35</t>
  </si>
  <si>
    <t>VitaCliffe(Vitamin B12, Vitamin D,TSH)</t>
  </si>
  <si>
    <t>PL39E</t>
  </si>
  <si>
    <t>Monsoon Special Care Package</t>
  </si>
  <si>
    <t>PL39H</t>
  </si>
  <si>
    <t>Monsoon Fever Package- Advance</t>
  </si>
  <si>
    <t>PL45A</t>
  </si>
  <si>
    <t>Women Health package</t>
  </si>
  <si>
    <t>PL47</t>
  </si>
  <si>
    <t>Fatigue Syndrome Test</t>
  </si>
  <si>
    <t>PL54</t>
  </si>
  <si>
    <t>Vital Full Body Checkup</t>
  </si>
  <si>
    <t>PL61B</t>
  </si>
  <si>
    <t>Polycystic Ovary Syndrome (PCOS) Panel- Advance</t>
  </si>
  <si>
    <t>PL61C</t>
  </si>
  <si>
    <t>Polycystic Ovary Syndrome (PCOS) Panel- Comprehensive</t>
  </si>
  <si>
    <t>PL71A</t>
  </si>
  <si>
    <t>AMH Profile (Female)</t>
  </si>
  <si>
    <t>PL71B</t>
  </si>
  <si>
    <t>Fertility Panel - Female</t>
  </si>
  <si>
    <t>PL72</t>
  </si>
  <si>
    <t>Fertility Panel - Male</t>
  </si>
  <si>
    <t>PL73</t>
  </si>
  <si>
    <t>Smart Full Body Check up with RA factor</t>
  </si>
  <si>
    <t>PL74</t>
  </si>
  <si>
    <t>Smart Full Body Check up with Vitamin D</t>
  </si>
  <si>
    <t>PL75</t>
  </si>
  <si>
    <t>Smart Plus Full Body Checkup With Vitamin Screening</t>
  </si>
  <si>
    <t>PL75A</t>
  </si>
  <si>
    <t>Independence Day Special Health Care Package</t>
  </si>
  <si>
    <t>PL80D</t>
  </si>
  <si>
    <t>Winter Special Care Package</t>
  </si>
  <si>
    <t>PL84</t>
  </si>
  <si>
    <t>Allergy Screening Package - Essential</t>
  </si>
  <si>
    <t>PL85E</t>
  </si>
  <si>
    <t>Senior Citizen Full Body Checkup - Male (Advance)</t>
  </si>
  <si>
    <t>PL85F</t>
  </si>
  <si>
    <t>Senior Citizen Full Body Checkup - Male (Comprehensive)</t>
  </si>
  <si>
    <t>PL86D</t>
  </si>
  <si>
    <t>Senior Citizen Full Body Checkup - Female (Essential)</t>
  </si>
  <si>
    <t>PL86E</t>
  </si>
  <si>
    <t>Senior Citizen Full Body Checkup - Female (Advance)</t>
  </si>
  <si>
    <t>PL86F</t>
  </si>
  <si>
    <t>Senior Citizen Full Body Checkup - Female (Comprehensive)</t>
  </si>
  <si>
    <t>PL90</t>
  </si>
  <si>
    <t>Smart Full body Checkup with Hs-CRP</t>
  </si>
  <si>
    <t>PL94</t>
  </si>
  <si>
    <t>Liver Function Test (LFT)</t>
  </si>
  <si>
    <t>PL95A</t>
  </si>
  <si>
    <t>Pre Operative Extended Panel</t>
  </si>
  <si>
    <t>PL98</t>
  </si>
  <si>
    <t>Smart Full Body checkup with testosterone Test</t>
  </si>
  <si>
    <t>SE002</t>
  </si>
  <si>
    <t>ANA By IFA (Anti Nuclear Antibody) Screening End Point Titre, Serum</t>
  </si>
  <si>
    <t>SE002A</t>
  </si>
  <si>
    <t>Anti Nuclear Antibody (ANA) Test By ELISA</t>
  </si>
  <si>
    <t>SE004</t>
  </si>
  <si>
    <t>Chikungunya IgM, Rapid Card Test</t>
  </si>
  <si>
    <t>SE006</t>
  </si>
  <si>
    <t>Dengue NS1 Antigen Test by ELISA</t>
  </si>
  <si>
    <t>SE009</t>
  </si>
  <si>
    <t>Hepatitis B Surface Antigen (HBsAg) Rapid Screening Test</t>
  </si>
  <si>
    <t>SE010</t>
  </si>
  <si>
    <t>Hepatitis C antibody (HCV) Test - Rapid card</t>
  </si>
  <si>
    <t>SE011</t>
  </si>
  <si>
    <t>HIV Antibody Rapid Screening Test</t>
  </si>
  <si>
    <t>SE012</t>
  </si>
  <si>
    <t>Rheumatoid Factor (RA) Quantitative Test</t>
  </si>
  <si>
    <t>SE013</t>
  </si>
  <si>
    <t>Torch Panel IgG &amp; IgM Test (10 Parameters)</t>
  </si>
  <si>
    <t>SE015</t>
  </si>
  <si>
    <t>Torch Panel IgM Test (5 Parameters)</t>
  </si>
  <si>
    <t>SE016</t>
  </si>
  <si>
    <t>Typhoid (Typhidot) Test IGM</t>
  </si>
  <si>
    <t>SE017</t>
  </si>
  <si>
    <t>VDRL Test</t>
  </si>
  <si>
    <t>SE019T</t>
  </si>
  <si>
    <t>WIDAL Test By Tube Agglutination</t>
  </si>
  <si>
    <t>SE033</t>
  </si>
  <si>
    <t>ANA Profile - Qualitative Test</t>
  </si>
  <si>
    <t>SE114</t>
  </si>
  <si>
    <t>Hepatitis B Surface Antibodies (HBsAb) Test</t>
  </si>
  <si>
    <t>SE119</t>
  </si>
  <si>
    <t>Hepatitis C Antibody (HCV), Qualitative Test</t>
  </si>
  <si>
    <t>SE167</t>
  </si>
  <si>
    <t>Rubella IgG &amp; IgM Antibodies Test</t>
  </si>
  <si>
    <t>SE168</t>
  </si>
  <si>
    <t>Rubella IgG Antibodies Test</t>
  </si>
  <si>
    <t>SE187</t>
  </si>
  <si>
    <t>Treponema pallidium hemagglutination assay (tpha) Test</t>
  </si>
  <si>
    <t>SE252</t>
  </si>
  <si>
    <t>Typhoid (Typhidot) Test IGG &amp; IGM</t>
  </si>
  <si>
    <t>SE337</t>
  </si>
  <si>
    <t>Quantiferon TB IGRA Test</t>
  </si>
  <si>
    <t>SE343</t>
  </si>
  <si>
    <t>TTG-IgA (Tissue Transglutaminase) Test</t>
  </si>
  <si>
    <t>SE398</t>
  </si>
  <si>
    <t>VDRL - RPR Titre (Semi Quant.) Test</t>
  </si>
  <si>
    <t>SE448</t>
  </si>
  <si>
    <t>p24 antigen with HIV 1&amp;2 Antibody Test</t>
  </si>
  <si>
    <t>SE689W</t>
  </si>
  <si>
    <t>Comprehensive Allergy Essential Panel Test</t>
  </si>
  <si>
    <t>SE703</t>
  </si>
  <si>
    <t>HIV (ELISA) Test</t>
  </si>
  <si>
    <t>SE704</t>
  </si>
  <si>
    <t>HBSAG (ELISA)</t>
  </si>
  <si>
    <t>SE705</t>
  </si>
  <si>
    <t>HCV (ELISA)</t>
  </si>
  <si>
    <t>SE729</t>
  </si>
  <si>
    <t>Allergy Comprehensive Plus - Food, Inhalant &amp; Skin Allergens (107 Allergens)</t>
  </si>
  <si>
    <t>SP019D</t>
  </si>
  <si>
    <t>Recommendation Package 4</t>
  </si>
  <si>
    <t>SP019L</t>
  </si>
  <si>
    <t>Recommendation Package 12</t>
  </si>
  <si>
    <t>SP356C</t>
  </si>
  <si>
    <t>Good Health Profile 3</t>
  </si>
  <si>
    <t>SP404</t>
  </si>
  <si>
    <t>Special Health Check Package</t>
  </si>
  <si>
    <t>SP404A</t>
  </si>
  <si>
    <t>Nutritionist Hair Panel- Male</t>
  </si>
  <si>
    <t>SP404E</t>
  </si>
  <si>
    <t>Nutritionist Hair Panel- Female</t>
  </si>
  <si>
    <t>SP454</t>
  </si>
  <si>
    <t>Autoriders Camp</t>
  </si>
  <si>
    <t>SP482</t>
  </si>
  <si>
    <t>Siemens Energy Employee Health Checkup</t>
  </si>
  <si>
    <t>SP500A</t>
  </si>
  <si>
    <t>Dr Madhwani Basic Package</t>
  </si>
  <si>
    <t>SP500B</t>
  </si>
  <si>
    <t>Madhwani Basic Package with 1 Cancer Marker- Male</t>
  </si>
  <si>
    <t>SP534</t>
  </si>
  <si>
    <t>TimesPrime Select – Redcliffe Exclusive Health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</si>
</sst>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&quot;%&quot;"/>
  </numFmts>
  <fonts count="11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color rgb="FF1F4E78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color rgb="FF1F4E78"/>
      <name val="Arial"/>
      <family val="2"/>
    </font>
    <font>
      <b/>
      <i/>
      <sz val="10"/>
      <color rgb="FFC0000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3" fontId="6" fillId="0" borderId="0" xfId="0" applyNumberFormat="1" applyFont="1"/>
    <xf numFmtId="0" fontId="5" fillId="2" borderId="0" xfId="0" applyFont="1" applyFill="1"/>
    <xf numFmtId="164" fontId="6" fillId="0" borderId="0" xfId="0" applyNumberFormat="1" applyFont="1"/>
    <xf numFmtId="165" fontId="6" fillId="0" borderId="0" xfId="0" applyNumberFormat="1" applyFont="1"/>
    <xf numFmtId="0" fontId="7" fillId="0" borderId="0" xfId="0" applyFont="1"/>
    <xf numFmtId="164" fontId="6" fillId="3" borderId="0" xfId="0" applyNumberFormat="1" applyFont="1" applyFill="1"/>
    <xf numFmtId="0" fontId="6" fillId="3" borderId="0" xfId="0" applyFont="1" applyFill="1"/>
    <xf numFmtId="0" fontId="6" fillId="4" borderId="0" xfId="0" applyFont="1" applyFill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9" fillId="0" borderId="0" xfId="0" applyFont="1"/>
    <xf numFmtId="1" fontId="6" fillId="0" borderId="0" xfId="0" applyNumberFormat="1" applyFont="1"/>
    <xf numFmtId="1" fontId="0" fillId="0" borderId="0" xfId="0" applyNumberFormat="1"/>
    <xf numFmtId="0" fontId="10" fillId="0" borderId="0" xfId="0" applyFont="1"/>
    <xf numFmtId="164" fontId="10" fillId="0" borderId="0" xfId="0" applyNumberFormat="1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workbookViewId="0"/>
  </sheetViews>
  <sheetFormatPr baseColWidth="10" defaultColWidth="8.83203125" defaultRowHeight="15" x14ac:dyDescent="0.2"/>
  <cols>
    <col min="1" max="1" width="112" customWidth="1"/>
  </cols>
  <sheetData>
    <row r="1" spans="1:1" ht="18" x14ac:dyDescent="0.2">
      <c r="A1" s="1" t="s">
        <v>0</v>
      </c>
    </row>
    <row r="2" spans="1:1" ht="30" x14ac:dyDescent="0.2">
      <c r="A2" s="2" t="s">
        <v>1</v>
      </c>
    </row>
    <row r="4" spans="1:1" ht="45" x14ac:dyDescent="0.2">
      <c r="A4" s="3" t="s">
        <v>2</v>
      </c>
    </row>
    <row r="5" spans="1:1" ht="75" x14ac:dyDescent="0.2">
      <c r="A5" s="3" t="s">
        <v>3</v>
      </c>
    </row>
    <row r="6" spans="1:1" ht="30" x14ac:dyDescent="0.2">
      <c r="A6" s="3" t="s">
        <v>4</v>
      </c>
    </row>
    <row r="8" spans="1:1" ht="16" x14ac:dyDescent="0.2">
      <c r="A8" s="4" t="s">
        <v>5</v>
      </c>
    </row>
    <row r="9" spans="1:1" x14ac:dyDescent="0.2">
      <c r="A9" s="3" t="s">
        <v>6</v>
      </c>
    </row>
    <row r="10" spans="1:1" ht="30" x14ac:dyDescent="0.2">
      <c r="A10" s="3" t="s">
        <v>7</v>
      </c>
    </row>
    <row r="11" spans="1:1" ht="30" x14ac:dyDescent="0.2">
      <c r="A11" s="3" t="s">
        <v>8</v>
      </c>
    </row>
    <row r="12" spans="1:1" ht="30" x14ac:dyDescent="0.2">
      <c r="A12" s="3" t="s">
        <v>9</v>
      </c>
    </row>
    <row r="13" spans="1:1" x14ac:dyDescent="0.2">
      <c r="A13" s="3" t="s">
        <v>10</v>
      </c>
    </row>
    <row r="14" spans="1:1" x14ac:dyDescent="0.2">
      <c r="A14" s="3" t="s">
        <v>11</v>
      </c>
    </row>
    <row r="15" spans="1:1" x14ac:dyDescent="0.2">
      <c r="A15" s="3" t="s">
        <v>12</v>
      </c>
    </row>
    <row r="16" spans="1:1" x14ac:dyDescent="0.2">
      <c r="A16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workbookViewId="0">
      <pane ySplit="1" topLeftCell="A2" activePane="bottomLeft" state="frozen"/>
      <selection pane="bottomLeft" activeCell="G1" sqref="G1"/>
    </sheetView>
  </sheetViews>
  <sheetFormatPr baseColWidth="10" defaultColWidth="8.83203125" defaultRowHeight="15" x14ac:dyDescent="0.2"/>
  <cols>
    <col min="1" max="1" width="10.33203125" customWidth="1"/>
    <col min="2" max="2" width="22" customWidth="1"/>
    <col min="3" max="3" width="67.33203125" bestFit="1" customWidth="1"/>
    <col min="4" max="9" width="22" customWidth="1"/>
  </cols>
  <sheetData>
    <row r="1" spans="1:9" ht="28" x14ac:dyDescent="0.2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</row>
    <row r="2" spans="1:9" x14ac:dyDescent="0.2">
      <c r="A2" s="6" t="s">
        <v>23</v>
      </c>
      <c r="B2" s="6" t="s">
        <v>24</v>
      </c>
      <c r="C2" s="6" t="s">
        <v>25</v>
      </c>
      <c r="D2" s="6" t="s">
        <v>26</v>
      </c>
      <c r="E2" s="7">
        <v>1160669</v>
      </c>
      <c r="F2" s="6" t="s">
        <v>27</v>
      </c>
      <c r="G2" s="6" t="s">
        <v>28</v>
      </c>
      <c r="H2" s="6"/>
      <c r="I2" s="6" t="s">
        <v>29</v>
      </c>
    </row>
    <row r="3" spans="1:9" x14ac:dyDescent="0.2">
      <c r="A3" s="6" t="s">
        <v>30</v>
      </c>
      <c r="B3" s="6" t="s">
        <v>31</v>
      </c>
      <c r="C3" s="6" t="s">
        <v>32</v>
      </c>
      <c r="D3" s="6" t="s">
        <v>33</v>
      </c>
      <c r="E3" s="7">
        <v>647892</v>
      </c>
      <c r="F3" s="6" t="s">
        <v>34</v>
      </c>
      <c r="G3" s="6" t="s">
        <v>35</v>
      </c>
      <c r="H3" s="6"/>
      <c r="I3" s="6" t="s">
        <v>29</v>
      </c>
    </row>
    <row r="4" spans="1:9" x14ac:dyDescent="0.2">
      <c r="A4" s="6" t="s">
        <v>37</v>
      </c>
      <c r="B4" s="6" t="s">
        <v>38</v>
      </c>
      <c r="C4" s="6" t="s">
        <v>39</v>
      </c>
      <c r="D4" s="6" t="s">
        <v>40</v>
      </c>
      <c r="E4" s="7">
        <v>142632.10165753891</v>
      </c>
      <c r="F4" s="6" t="s">
        <v>41</v>
      </c>
      <c r="G4" s="6" t="s">
        <v>42</v>
      </c>
      <c r="H4" s="6"/>
      <c r="I4" s="6" t="s">
        <v>29</v>
      </c>
    </row>
    <row r="5" spans="1:9" x14ac:dyDescent="0.2">
      <c r="A5" s="6" t="s">
        <v>37</v>
      </c>
      <c r="B5" s="6" t="s">
        <v>43</v>
      </c>
      <c r="C5" s="6" t="s">
        <v>44</v>
      </c>
      <c r="D5" s="6" t="s">
        <v>45</v>
      </c>
      <c r="E5" s="7">
        <v>134167.09452671549</v>
      </c>
      <c r="F5" s="6" t="s">
        <v>41</v>
      </c>
      <c r="G5" s="6" t="s">
        <v>46</v>
      </c>
      <c r="H5" s="6"/>
      <c r="I5" s="6" t="s">
        <v>29</v>
      </c>
    </row>
    <row r="6" spans="1:9" x14ac:dyDescent="0.2">
      <c r="A6" s="6" t="s">
        <v>37</v>
      </c>
      <c r="B6" s="6" t="s">
        <v>47</v>
      </c>
      <c r="C6" s="6" t="s">
        <v>48</v>
      </c>
      <c r="D6" s="6" t="s">
        <v>49</v>
      </c>
      <c r="E6" s="7">
        <v>108600.7019758963</v>
      </c>
      <c r="F6" s="6" t="s">
        <v>41</v>
      </c>
      <c r="G6" s="6" t="s">
        <v>50</v>
      </c>
      <c r="H6" s="6"/>
      <c r="I6" s="6" t="s">
        <v>29</v>
      </c>
    </row>
    <row r="7" spans="1:9" x14ac:dyDescent="0.2">
      <c r="A7" s="6" t="s">
        <v>37</v>
      </c>
      <c r="B7" s="6" t="s">
        <v>51</v>
      </c>
      <c r="C7" s="6" t="s">
        <v>52</v>
      </c>
      <c r="D7" s="6" t="s">
        <v>45</v>
      </c>
      <c r="E7" s="7">
        <v>99746.492143106167</v>
      </c>
      <c r="F7" s="6" t="s">
        <v>41</v>
      </c>
      <c r="G7" s="6" t="s">
        <v>46</v>
      </c>
      <c r="H7" s="6"/>
      <c r="I7" s="6" t="s">
        <v>29</v>
      </c>
    </row>
    <row r="8" spans="1:9" x14ac:dyDescent="0.2">
      <c r="A8" s="6" t="s">
        <v>37</v>
      </c>
      <c r="B8" s="6" t="s">
        <v>53</v>
      </c>
      <c r="C8" s="6" t="s">
        <v>54</v>
      </c>
      <c r="D8" s="6" t="s">
        <v>55</v>
      </c>
      <c r="E8" s="7">
        <v>74017.725060683093</v>
      </c>
      <c r="F8" s="6" t="s">
        <v>41</v>
      </c>
      <c r="G8" s="6" t="s">
        <v>50</v>
      </c>
      <c r="H8" s="6"/>
      <c r="I8" s="6" t="s">
        <v>29</v>
      </c>
    </row>
    <row r="9" spans="1:9" x14ac:dyDescent="0.2">
      <c r="A9" s="6" t="s">
        <v>37</v>
      </c>
      <c r="B9" s="6" t="s">
        <v>56</v>
      </c>
      <c r="C9" s="6" t="s">
        <v>57</v>
      </c>
      <c r="D9" s="6" t="s">
        <v>58</v>
      </c>
      <c r="E9" s="7">
        <v>72213.304087019904</v>
      </c>
      <c r="F9" s="6" t="s">
        <v>41</v>
      </c>
      <c r="G9" s="6" t="s">
        <v>46</v>
      </c>
      <c r="H9" s="6"/>
      <c r="I9" s="6" t="s">
        <v>29</v>
      </c>
    </row>
    <row r="10" spans="1:9" x14ac:dyDescent="0.2">
      <c r="A10" s="6" t="s">
        <v>37</v>
      </c>
      <c r="B10" s="6" t="s">
        <v>59</v>
      </c>
      <c r="C10" s="6" t="s">
        <v>60</v>
      </c>
      <c r="D10" s="6" t="s">
        <v>61</v>
      </c>
      <c r="E10" s="7">
        <v>69441.566671449342</v>
      </c>
      <c r="F10" s="6" t="s">
        <v>41</v>
      </c>
      <c r="G10" s="6" t="s">
        <v>46</v>
      </c>
      <c r="H10" s="6"/>
      <c r="I10" s="6" t="s">
        <v>29</v>
      </c>
    </row>
    <row r="11" spans="1:9" x14ac:dyDescent="0.2">
      <c r="A11" s="6" t="s">
        <v>37</v>
      </c>
      <c r="B11" s="6" t="s">
        <v>62</v>
      </c>
      <c r="C11" s="6" t="s">
        <v>63</v>
      </c>
      <c r="D11" s="6" t="s">
        <v>64</v>
      </c>
      <c r="E11" s="7">
        <v>55979.034506082193</v>
      </c>
      <c r="F11" s="6" t="s">
        <v>41</v>
      </c>
      <c r="G11" s="6" t="s">
        <v>46</v>
      </c>
      <c r="H11" s="6"/>
      <c r="I11" s="6" t="s">
        <v>29</v>
      </c>
    </row>
    <row r="12" spans="1:9" x14ac:dyDescent="0.2">
      <c r="A12" s="6" t="s">
        <v>37</v>
      </c>
      <c r="B12" s="6" t="s">
        <v>65</v>
      </c>
      <c r="C12" s="6" t="s">
        <v>66</v>
      </c>
      <c r="D12" s="6" t="s">
        <v>64</v>
      </c>
      <c r="E12" s="7">
        <v>54109.760095105448</v>
      </c>
      <c r="F12" s="6" t="s">
        <v>41</v>
      </c>
      <c r="G12" s="6" t="s">
        <v>50</v>
      </c>
      <c r="H12" s="6"/>
      <c r="I12" s="6" t="s">
        <v>29</v>
      </c>
    </row>
    <row r="13" spans="1:9" x14ac:dyDescent="0.2">
      <c r="A13" s="6" t="s">
        <v>37</v>
      </c>
      <c r="B13" s="6" t="s">
        <v>67</v>
      </c>
      <c r="C13" s="6" t="s">
        <v>68</v>
      </c>
      <c r="D13" s="6" t="s">
        <v>40</v>
      </c>
      <c r="E13" s="7">
        <v>40376.331844543398</v>
      </c>
      <c r="F13" s="6" t="s">
        <v>41</v>
      </c>
      <c r="G13" s="6" t="s">
        <v>46</v>
      </c>
      <c r="H13" s="6"/>
      <c r="I13" s="6" t="s">
        <v>29</v>
      </c>
    </row>
    <row r="14" spans="1:9" x14ac:dyDescent="0.2">
      <c r="A14" s="6" t="s">
        <v>37</v>
      </c>
      <c r="B14" s="6" t="s">
        <v>69</v>
      </c>
      <c r="C14" s="6" t="s">
        <v>70</v>
      </c>
      <c r="D14" s="6" t="s">
        <v>71</v>
      </c>
      <c r="E14" s="7">
        <v>39202.334174339252</v>
      </c>
      <c r="F14" s="6" t="s">
        <v>41</v>
      </c>
      <c r="G14" s="6" t="s">
        <v>46</v>
      </c>
      <c r="H14" s="6"/>
      <c r="I14" s="6" t="s">
        <v>29</v>
      </c>
    </row>
    <row r="15" spans="1:9" x14ac:dyDescent="0.2">
      <c r="A15" s="6" t="s">
        <v>37</v>
      </c>
      <c r="B15" s="6" t="s">
        <v>72</v>
      </c>
      <c r="C15" s="6" t="s">
        <v>73</v>
      </c>
      <c r="D15" s="6" t="s">
        <v>74</v>
      </c>
      <c r="E15" s="7">
        <v>35654.536391910689</v>
      </c>
      <c r="F15" s="6" t="s">
        <v>41</v>
      </c>
      <c r="G15" s="6" t="s">
        <v>75</v>
      </c>
      <c r="H15" s="6"/>
      <c r="I15" s="6" t="s">
        <v>29</v>
      </c>
    </row>
    <row r="16" spans="1:9" x14ac:dyDescent="0.2">
      <c r="A16" s="6" t="s">
        <v>37</v>
      </c>
      <c r="B16" s="6" t="s">
        <v>76</v>
      </c>
      <c r="C16" s="6" t="s">
        <v>77</v>
      </c>
      <c r="D16" s="6" t="s">
        <v>78</v>
      </c>
      <c r="E16" s="7">
        <v>34052.738747150353</v>
      </c>
      <c r="F16" s="6" t="s">
        <v>41</v>
      </c>
      <c r="G16" s="6" t="s">
        <v>46</v>
      </c>
      <c r="H16" s="6"/>
      <c r="I16" s="6" t="s">
        <v>29</v>
      </c>
    </row>
    <row r="17" spans="1:9" x14ac:dyDescent="0.2">
      <c r="A17" s="6" t="s">
        <v>37</v>
      </c>
      <c r="B17" s="6" t="s">
        <v>79</v>
      </c>
      <c r="C17" s="6" t="s">
        <v>80</v>
      </c>
      <c r="D17" s="6" t="s">
        <v>40</v>
      </c>
      <c r="E17" s="7">
        <v>28441.671846065721</v>
      </c>
      <c r="F17" s="6" t="s">
        <v>41</v>
      </c>
      <c r="G17" s="6" t="s">
        <v>42</v>
      </c>
      <c r="H17" s="6"/>
      <c r="I17" s="6" t="s">
        <v>29</v>
      </c>
    </row>
    <row r="18" spans="1:9" x14ac:dyDescent="0.2">
      <c r="A18" s="6" t="s">
        <v>37</v>
      </c>
      <c r="B18" s="6" t="s">
        <v>81</v>
      </c>
      <c r="C18" s="6" t="s">
        <v>82</v>
      </c>
      <c r="D18" s="6" t="s">
        <v>83</v>
      </c>
      <c r="E18" s="7">
        <v>25846.270772214739</v>
      </c>
      <c r="F18" s="6" t="s">
        <v>41</v>
      </c>
      <c r="G18" s="6" t="s">
        <v>46</v>
      </c>
      <c r="H18" s="6"/>
      <c r="I18" s="6" t="s">
        <v>29</v>
      </c>
    </row>
    <row r="19" spans="1:9" x14ac:dyDescent="0.2">
      <c r="A19" s="6" t="s">
        <v>37</v>
      </c>
      <c r="B19" s="6" t="s">
        <v>84</v>
      </c>
      <c r="C19" s="6" t="s">
        <v>85</v>
      </c>
      <c r="D19" s="6" t="s">
        <v>86</v>
      </c>
      <c r="E19" s="7">
        <v>20959.218391788771</v>
      </c>
      <c r="F19" s="6" t="s">
        <v>41</v>
      </c>
      <c r="G19" s="6" t="s">
        <v>75</v>
      </c>
      <c r="H19" s="6"/>
      <c r="I19" s="6" t="s">
        <v>29</v>
      </c>
    </row>
    <row r="20" spans="1:9" x14ac:dyDescent="0.2">
      <c r="A20" s="6" t="s">
        <v>37</v>
      </c>
      <c r="B20" s="6" t="s">
        <v>87</v>
      </c>
      <c r="C20" s="6" t="s">
        <v>88</v>
      </c>
      <c r="D20" s="6" t="s">
        <v>89</v>
      </c>
      <c r="E20" s="7">
        <v>18584.856668780791</v>
      </c>
      <c r="F20" s="6" t="s">
        <v>41</v>
      </c>
      <c r="G20" s="6" t="s">
        <v>42</v>
      </c>
      <c r="H20" s="6"/>
      <c r="I20" s="6" t="s">
        <v>29</v>
      </c>
    </row>
    <row r="21" spans="1:9" x14ac:dyDescent="0.2">
      <c r="A21" s="6" t="s">
        <v>37</v>
      </c>
      <c r="B21" s="6" t="s">
        <v>90</v>
      </c>
      <c r="C21" s="6" t="s">
        <v>91</v>
      </c>
      <c r="D21" s="6" t="s">
        <v>45</v>
      </c>
      <c r="E21" s="7">
        <v>15871.86361347747</v>
      </c>
      <c r="F21" s="6" t="s">
        <v>41</v>
      </c>
      <c r="G21" s="6" t="s">
        <v>46</v>
      </c>
      <c r="H21" s="6"/>
      <c r="I21" s="6" t="s">
        <v>29</v>
      </c>
    </row>
    <row r="22" spans="1:9" x14ac:dyDescent="0.2">
      <c r="A22" s="6" t="s">
        <v>37</v>
      </c>
      <c r="B22" s="6" t="s">
        <v>92</v>
      </c>
      <c r="C22" s="6" t="s">
        <v>93</v>
      </c>
      <c r="D22" s="6" t="s">
        <v>55</v>
      </c>
      <c r="E22" s="7">
        <v>15815.265874082001</v>
      </c>
      <c r="F22" s="6" t="s">
        <v>41</v>
      </c>
      <c r="G22" s="6" t="s">
        <v>50</v>
      </c>
      <c r="H22" s="6"/>
      <c r="I22" s="6" t="s">
        <v>29</v>
      </c>
    </row>
    <row r="23" spans="1:9" x14ac:dyDescent="0.2">
      <c r="A23" s="6" t="s">
        <v>37</v>
      </c>
      <c r="B23" s="6" t="s">
        <v>94</v>
      </c>
      <c r="C23" s="6" t="s">
        <v>95</v>
      </c>
      <c r="D23" s="6" t="s">
        <v>55</v>
      </c>
      <c r="E23" s="7">
        <v>14624.21348557169</v>
      </c>
      <c r="F23" s="6" t="s">
        <v>41</v>
      </c>
      <c r="G23" s="6" t="s">
        <v>50</v>
      </c>
      <c r="H23" s="6"/>
      <c r="I23" s="6" t="s">
        <v>29</v>
      </c>
    </row>
    <row r="24" spans="1:9" x14ac:dyDescent="0.2">
      <c r="A24" s="6" t="s">
        <v>37</v>
      </c>
      <c r="B24" s="6" t="s">
        <v>96</v>
      </c>
      <c r="C24" s="6" t="s">
        <v>97</v>
      </c>
      <c r="D24" s="6" t="s">
        <v>98</v>
      </c>
      <c r="E24" s="7">
        <v>11675.25680489618</v>
      </c>
      <c r="F24" s="6" t="s">
        <v>41</v>
      </c>
      <c r="G24" s="6" t="s">
        <v>75</v>
      </c>
      <c r="H24" s="6"/>
      <c r="I24" s="6" t="s">
        <v>29</v>
      </c>
    </row>
    <row r="25" spans="1:9" x14ac:dyDescent="0.2">
      <c r="A25" s="6" t="s">
        <v>37</v>
      </c>
      <c r="B25" s="6" t="s">
        <v>99</v>
      </c>
      <c r="C25" s="6" t="s">
        <v>100</v>
      </c>
      <c r="D25" s="6" t="s">
        <v>40</v>
      </c>
      <c r="E25" s="7">
        <v>10122.15156640382</v>
      </c>
      <c r="F25" s="6" t="s">
        <v>41</v>
      </c>
      <c r="G25" s="6" t="s">
        <v>46</v>
      </c>
      <c r="H25" s="6"/>
      <c r="I25" s="6" t="s">
        <v>29</v>
      </c>
    </row>
    <row r="26" spans="1:9" x14ac:dyDescent="0.2">
      <c r="A26" s="6" t="s">
        <v>37</v>
      </c>
      <c r="B26" s="6" t="s">
        <v>101</v>
      </c>
      <c r="C26" s="6" t="s">
        <v>102</v>
      </c>
      <c r="D26" s="6" t="s">
        <v>55</v>
      </c>
      <c r="E26" s="7">
        <v>7108.6648420718266</v>
      </c>
      <c r="F26" s="6" t="s">
        <v>41</v>
      </c>
      <c r="G26" s="6" t="s">
        <v>46</v>
      </c>
      <c r="H26" s="6"/>
      <c r="I26" s="6" t="s">
        <v>29</v>
      </c>
    </row>
    <row r="27" spans="1:9" x14ac:dyDescent="0.2">
      <c r="A27" s="6" t="s">
        <v>37</v>
      </c>
      <c r="B27" s="6" t="s">
        <v>103</v>
      </c>
      <c r="C27" s="6" t="s">
        <v>104</v>
      </c>
      <c r="D27" s="6" t="s">
        <v>58</v>
      </c>
      <c r="E27" s="7">
        <v>6136.2919964297689</v>
      </c>
      <c r="F27" s="6" t="s">
        <v>41</v>
      </c>
      <c r="G27" s="6" t="s">
        <v>46</v>
      </c>
      <c r="H27" s="6"/>
      <c r="I27" s="6" t="s">
        <v>29</v>
      </c>
    </row>
    <row r="28" spans="1:9" x14ac:dyDescent="0.2">
      <c r="A28" s="6" t="s">
        <v>37</v>
      </c>
      <c r="B28" s="6" t="s">
        <v>105</v>
      </c>
      <c r="C28" s="6" t="s">
        <v>106</v>
      </c>
      <c r="D28" s="6" t="s">
        <v>107</v>
      </c>
      <c r="E28" s="7">
        <v>3293.4287384019121</v>
      </c>
      <c r="F28" s="6" t="s">
        <v>41</v>
      </c>
      <c r="G28" s="6" t="s">
        <v>46</v>
      </c>
      <c r="H28" s="6"/>
      <c r="I28" s="6" t="s">
        <v>29</v>
      </c>
    </row>
    <row r="29" spans="1:9" x14ac:dyDescent="0.2">
      <c r="A29" s="6" t="s">
        <v>37</v>
      </c>
      <c r="B29" s="6" t="s">
        <v>108</v>
      </c>
      <c r="C29" s="6" t="s">
        <v>109</v>
      </c>
      <c r="D29" s="6" t="s">
        <v>110</v>
      </c>
      <c r="E29" s="7">
        <v>2867.1462231089831</v>
      </c>
      <c r="F29" s="6" t="s">
        <v>41</v>
      </c>
      <c r="G29" s="6" t="s">
        <v>50</v>
      </c>
      <c r="H29" s="6"/>
      <c r="I29" s="6" t="s">
        <v>29</v>
      </c>
    </row>
    <row r="30" spans="1:9" x14ac:dyDescent="0.2">
      <c r="A30" s="6" t="s">
        <v>37</v>
      </c>
      <c r="B30" s="6" t="s">
        <v>111</v>
      </c>
      <c r="C30" s="6" t="s">
        <v>112</v>
      </c>
      <c r="D30" s="6" t="s">
        <v>58</v>
      </c>
      <c r="E30" s="7">
        <v>1988.393347780227</v>
      </c>
      <c r="F30" s="6" t="s">
        <v>41</v>
      </c>
      <c r="G30" s="6" t="s">
        <v>42</v>
      </c>
      <c r="H30" s="6"/>
      <c r="I30" s="6" t="s">
        <v>29</v>
      </c>
    </row>
    <row r="31" spans="1:9" x14ac:dyDescent="0.2">
      <c r="A31" s="6" t="s">
        <v>37</v>
      </c>
      <c r="B31" s="6" t="s">
        <v>113</v>
      </c>
      <c r="C31" s="6" t="s">
        <v>114</v>
      </c>
      <c r="D31" s="6" t="s">
        <v>115</v>
      </c>
      <c r="E31" s="7">
        <v>1841.792977217061</v>
      </c>
      <c r="F31" s="6" t="s">
        <v>41</v>
      </c>
      <c r="G31" s="6" t="s">
        <v>46</v>
      </c>
      <c r="H31" s="6"/>
      <c r="I31" s="6" t="s">
        <v>29</v>
      </c>
    </row>
    <row r="32" spans="1:9" x14ac:dyDescent="0.2">
      <c r="A32" s="6" t="s">
        <v>37</v>
      </c>
      <c r="B32" s="6" t="s">
        <v>116</v>
      </c>
      <c r="C32" s="6" t="s">
        <v>117</v>
      </c>
      <c r="D32" s="6" t="s">
        <v>118</v>
      </c>
      <c r="E32" s="7">
        <v>1697.8990789456041</v>
      </c>
      <c r="F32" s="6" t="s">
        <v>41</v>
      </c>
      <c r="G32" s="6" t="s">
        <v>75</v>
      </c>
      <c r="H32" s="6"/>
      <c r="I32" s="6" t="s">
        <v>29</v>
      </c>
    </row>
    <row r="33" spans="1:9" x14ac:dyDescent="0.2">
      <c r="A33" s="6" t="s">
        <v>37</v>
      </c>
      <c r="B33" s="6" t="s">
        <v>119</v>
      </c>
      <c r="C33" s="6" t="s">
        <v>120</v>
      </c>
      <c r="D33" s="6" t="s">
        <v>121</v>
      </c>
      <c r="E33" s="7">
        <v>930.61652601573223</v>
      </c>
      <c r="F33" s="6" t="s">
        <v>41</v>
      </c>
      <c r="G33" s="6" t="s">
        <v>42</v>
      </c>
      <c r="H33" s="6"/>
      <c r="I33" s="6" t="s">
        <v>29</v>
      </c>
    </row>
    <row r="34" spans="1:9" x14ac:dyDescent="0.2">
      <c r="A34" s="6" t="s">
        <v>37</v>
      </c>
      <c r="B34" s="6" t="s">
        <v>122</v>
      </c>
      <c r="C34" s="6" t="s">
        <v>123</v>
      </c>
      <c r="D34" s="6" t="s">
        <v>124</v>
      </c>
      <c r="E34" s="7">
        <v>857.40557449655898</v>
      </c>
      <c r="F34" s="6" t="s">
        <v>41</v>
      </c>
      <c r="G34" s="6" t="s">
        <v>75</v>
      </c>
      <c r="H34" s="6"/>
      <c r="I34" s="6" t="s">
        <v>29</v>
      </c>
    </row>
    <row r="35" spans="1:9" x14ac:dyDescent="0.2">
      <c r="A35" s="6" t="s">
        <v>37</v>
      </c>
      <c r="B35" s="6" t="s">
        <v>125</v>
      </c>
      <c r="C35" s="6" t="s">
        <v>126</v>
      </c>
      <c r="D35" s="6" t="s">
        <v>127</v>
      </c>
      <c r="E35" s="7">
        <v>760.25522151327641</v>
      </c>
      <c r="F35" s="6" t="s">
        <v>41</v>
      </c>
      <c r="G35" s="6" t="s">
        <v>75</v>
      </c>
      <c r="H35" s="6"/>
      <c r="I35" s="6" t="s">
        <v>29</v>
      </c>
    </row>
    <row r="36" spans="1:9" x14ac:dyDescent="0.2">
      <c r="A36" s="6" t="s">
        <v>37</v>
      </c>
      <c r="B36" s="6" t="s">
        <v>128</v>
      </c>
      <c r="C36" s="6" t="s">
        <v>129</v>
      </c>
      <c r="D36" s="6" t="s">
        <v>130</v>
      </c>
      <c r="E36" s="7">
        <v>705.51642756148067</v>
      </c>
      <c r="F36" s="6" t="s">
        <v>41</v>
      </c>
      <c r="G36" s="6" t="s">
        <v>46</v>
      </c>
      <c r="H36" s="6"/>
      <c r="I36" s="6" t="s">
        <v>29</v>
      </c>
    </row>
    <row r="37" spans="1:9" x14ac:dyDescent="0.2">
      <c r="A37" s="6" t="s">
        <v>37</v>
      </c>
      <c r="B37" s="6" t="s">
        <v>131</v>
      </c>
      <c r="C37" s="6" t="s">
        <v>132</v>
      </c>
      <c r="D37" s="6" t="s">
        <v>133</v>
      </c>
      <c r="E37" s="7">
        <v>648.81917267056997</v>
      </c>
      <c r="F37" s="6" t="s">
        <v>41</v>
      </c>
      <c r="G37" s="6" t="s">
        <v>46</v>
      </c>
      <c r="H37" s="6"/>
      <c r="I37" s="6" t="s">
        <v>29</v>
      </c>
    </row>
    <row r="38" spans="1:9" x14ac:dyDescent="0.2">
      <c r="A38" s="6" t="s">
        <v>37</v>
      </c>
      <c r="B38" s="6" t="s">
        <v>134</v>
      </c>
      <c r="C38" s="6" t="s">
        <v>135</v>
      </c>
      <c r="D38" s="6" t="s">
        <v>136</v>
      </c>
      <c r="E38" s="7">
        <v>647.26735109124274</v>
      </c>
      <c r="F38" s="6" t="s">
        <v>41</v>
      </c>
      <c r="G38" s="6" t="s">
        <v>46</v>
      </c>
      <c r="H38" s="6"/>
      <c r="I38" s="6" t="s">
        <v>29</v>
      </c>
    </row>
    <row r="39" spans="1:9" x14ac:dyDescent="0.2">
      <c r="A39" s="6" t="s">
        <v>37</v>
      </c>
      <c r="B39" s="6" t="s">
        <v>137</v>
      </c>
      <c r="C39" s="6" t="s">
        <v>138</v>
      </c>
      <c r="D39" s="6" t="s">
        <v>139</v>
      </c>
      <c r="E39" s="7">
        <v>619.68393767539965</v>
      </c>
      <c r="F39" s="6" t="s">
        <v>41</v>
      </c>
      <c r="G39" s="6" t="s">
        <v>75</v>
      </c>
      <c r="H39" s="6"/>
      <c r="I39" s="6" t="s">
        <v>29</v>
      </c>
    </row>
    <row r="40" spans="1:9" x14ac:dyDescent="0.2">
      <c r="A40" s="6" t="s">
        <v>37</v>
      </c>
      <c r="B40" s="6" t="s">
        <v>140</v>
      </c>
      <c r="C40" s="6" t="s">
        <v>141</v>
      </c>
      <c r="D40" s="6" t="s">
        <v>142</v>
      </c>
      <c r="E40" s="7">
        <v>338.49246188371762</v>
      </c>
      <c r="F40" s="6" t="s">
        <v>41</v>
      </c>
      <c r="G40" s="6" t="s">
        <v>143</v>
      </c>
      <c r="H40" s="6"/>
      <c r="I40" s="6" t="s">
        <v>29</v>
      </c>
    </row>
    <row r="41" spans="1:9" x14ac:dyDescent="0.2">
      <c r="A41" s="6" t="s">
        <v>37</v>
      </c>
      <c r="B41" s="6" t="s">
        <v>144</v>
      </c>
      <c r="C41" s="6" t="s">
        <v>145</v>
      </c>
      <c r="D41" s="6" t="s">
        <v>146</v>
      </c>
      <c r="E41" s="7">
        <v>213.32365505170679</v>
      </c>
      <c r="F41" s="6" t="s">
        <v>41</v>
      </c>
      <c r="G41" s="6" t="s">
        <v>75</v>
      </c>
      <c r="H41" s="6"/>
      <c r="I41" s="6" t="s">
        <v>29</v>
      </c>
    </row>
    <row r="42" spans="1:9" x14ac:dyDescent="0.2">
      <c r="A42" s="6" t="s">
        <v>37</v>
      </c>
      <c r="B42" s="6" t="s">
        <v>147</v>
      </c>
      <c r="C42" s="6" t="s">
        <v>148</v>
      </c>
      <c r="D42" s="6" t="s">
        <v>149</v>
      </c>
      <c r="E42" s="7">
        <v>163.74058568058169</v>
      </c>
      <c r="F42" s="6" t="s">
        <v>41</v>
      </c>
      <c r="G42" s="6" t="s">
        <v>46</v>
      </c>
      <c r="H42" s="6"/>
      <c r="I42" s="6" t="s">
        <v>29</v>
      </c>
    </row>
    <row r="44" spans="1:9" x14ac:dyDescent="0.2">
      <c r="A44" s="6"/>
      <c r="B44" s="6"/>
      <c r="C44" s="6"/>
      <c r="D44" s="6"/>
      <c r="E44" s="7"/>
      <c r="F44" s="6"/>
      <c r="G44" s="6"/>
      <c r="H44" s="6"/>
      <c r="I44" s="6"/>
    </row>
    <row r="45" spans="1:9" x14ac:dyDescent="0.2">
      <c r="A45" s="6" t="s">
        <v>150</v>
      </c>
      <c r="B45" s="6"/>
      <c r="C45" s="6"/>
      <c r="D45" s="6"/>
      <c r="E45" s="7">
        <v>2204312</v>
      </c>
      <c r="F45" s="6"/>
      <c r="G45" s="6"/>
      <c r="H45" s="6"/>
      <c r="I45" s="6"/>
    </row>
    <row r="46" spans="1:9" x14ac:dyDescent="0.2">
      <c r="A46" s="6" t="s">
        <v>151</v>
      </c>
      <c r="B46" s="6"/>
      <c r="C46" s="6"/>
      <c r="D46" s="6"/>
      <c r="E46" s="7">
        <v>1152953</v>
      </c>
      <c r="F46" s="6"/>
      <c r="G46" s="6"/>
      <c r="H46" s="6"/>
      <c r="I46" s="6"/>
    </row>
    <row r="47" spans="1:9" x14ac:dyDescent="0.2">
      <c r="A47" s="6" t="s">
        <v>152</v>
      </c>
      <c r="B47" s="6"/>
      <c r="C47" s="6"/>
      <c r="D47" s="6"/>
      <c r="E47" s="7">
        <v>1051359</v>
      </c>
      <c r="F47" s="6"/>
      <c r="G47" s="6"/>
      <c r="H47" s="6"/>
      <c r="I47" s="6"/>
    </row>
    <row r="48" spans="1:9" x14ac:dyDescent="0.2">
      <c r="A48" s="6"/>
      <c r="B48" s="6"/>
      <c r="C48" s="6"/>
      <c r="D48" s="6"/>
      <c r="E48" s="7"/>
      <c r="F48" s="6"/>
      <c r="G48" s="6"/>
      <c r="H48" s="6"/>
      <c r="I48" s="6"/>
    </row>
    <row r="49" spans="1:9" x14ac:dyDescent="0.2">
      <c r="A49" s="6" t="s">
        <v>153</v>
      </c>
      <c r="B49" s="6"/>
      <c r="C49" s="6"/>
      <c r="D49" s="6"/>
      <c r="E49" s="7">
        <v>1160669</v>
      </c>
      <c r="F49" s="6"/>
      <c r="G49" s="6"/>
      <c r="H49" s="6"/>
      <c r="I49" s="6"/>
    </row>
    <row r="51" spans="1:9" ht="285" x14ac:dyDescent="0.2">
      <c r="A51" s="2" t="s">
        <v>154</v>
      </c>
    </row>
  </sheetData>
  <autoFilter ref="A1:I42" xr:uid="{00000000-0001-0000-0100-000000000000}"/>
  <conditionalFormatting sqref="D15:D41">
    <cfRule type="containsText" dxfId="0" priority="1" operator="containsText" text="Raise">
      <formula>NOT(ISERROR(SEARCH("Raise",D15)))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"/>
  <sheetViews>
    <sheetView tabSelected="1" topLeftCell="A12" workbookViewId="0">
      <selection activeCell="G19" sqref="G19"/>
    </sheetView>
  </sheetViews>
  <sheetFormatPr baseColWidth="10" defaultColWidth="8.83203125" defaultRowHeight="15" x14ac:dyDescent="0.2"/>
  <cols>
    <col min="1" max="1" width="12" customWidth="1"/>
    <col min="2" max="2" width="14.5" bestFit="1" customWidth="1"/>
    <col min="3" max="3" width="10" customWidth="1"/>
    <col min="4" max="4" width="12" customWidth="1"/>
    <col min="5" max="6" width="14" customWidth="1"/>
    <col min="7" max="7" width="10" customWidth="1"/>
    <col min="8" max="8" width="18" customWidth="1"/>
    <col min="9" max="9" width="16" customWidth="1"/>
    <col min="10" max="10" width="14" customWidth="1"/>
  </cols>
  <sheetData>
    <row r="1" spans="1:10" ht="16" x14ac:dyDescent="0.2">
      <c r="A1" s="4" t="s">
        <v>155</v>
      </c>
    </row>
    <row r="3" spans="1:10" x14ac:dyDescent="0.2">
      <c r="A3" s="8" t="s">
        <v>156</v>
      </c>
      <c r="B3" s="8" t="s">
        <v>157</v>
      </c>
      <c r="C3" s="8" t="s">
        <v>158</v>
      </c>
      <c r="D3" s="8" t="s">
        <v>159</v>
      </c>
      <c r="E3" s="8" t="s">
        <v>160</v>
      </c>
      <c r="F3" s="8" t="s">
        <v>161</v>
      </c>
      <c r="G3" s="8" t="s">
        <v>162</v>
      </c>
      <c r="H3" s="8" t="s">
        <v>163</v>
      </c>
      <c r="I3" s="8" t="s">
        <v>164</v>
      </c>
      <c r="J3" s="8" t="s">
        <v>165</v>
      </c>
    </row>
    <row r="4" spans="1:10" x14ac:dyDescent="0.2">
      <c r="A4" s="6" t="s">
        <v>166</v>
      </c>
      <c r="B4" s="6" t="s">
        <v>167</v>
      </c>
      <c r="C4" s="6">
        <v>13975</v>
      </c>
      <c r="D4" s="7">
        <v>23518994</v>
      </c>
      <c r="E4" s="7">
        <v>15957573.49133333</v>
      </c>
      <c r="F4" s="9">
        <v>0.67849728144551313</v>
      </c>
      <c r="G4" s="6">
        <v>1.192200357781753</v>
      </c>
      <c r="H4" s="9">
        <v>0.71527728085867626</v>
      </c>
      <c r="I4" s="10">
        <v>14.481053645858269</v>
      </c>
      <c r="J4" s="9">
        <v>0.27353477829453349</v>
      </c>
    </row>
    <row r="5" spans="1:10" x14ac:dyDescent="0.2">
      <c r="A5" s="6" t="s">
        <v>166</v>
      </c>
      <c r="B5" s="6" t="s">
        <v>168</v>
      </c>
      <c r="C5" s="6">
        <v>3507</v>
      </c>
      <c r="D5" s="7">
        <v>7810161</v>
      </c>
      <c r="E5" s="7">
        <v>5327464.8994132299</v>
      </c>
      <c r="F5" s="9">
        <v>0.682119728314593</v>
      </c>
      <c r="G5" s="6">
        <v>1.1645280866837751</v>
      </c>
      <c r="H5" s="9">
        <v>0.63016823495865415</v>
      </c>
      <c r="I5" s="10">
        <v>18.09808271852134</v>
      </c>
      <c r="J5" s="9">
        <v>9.0835120650977305E-2</v>
      </c>
    </row>
    <row r="6" spans="1:10" x14ac:dyDescent="0.2">
      <c r="A6" s="6" t="s">
        <v>166</v>
      </c>
      <c r="B6" s="6" t="s">
        <v>169</v>
      </c>
      <c r="C6" s="6">
        <v>146</v>
      </c>
      <c r="D6" s="7">
        <v>679278</v>
      </c>
      <c r="E6" s="7">
        <v>455390.29200000002</v>
      </c>
      <c r="F6" s="9">
        <v>0.67040341656876867</v>
      </c>
      <c r="G6" s="6">
        <v>1.4383561643835621</v>
      </c>
      <c r="H6" s="9">
        <v>0.76027397260273977</v>
      </c>
      <c r="I6" s="10">
        <v>21.80576300240272</v>
      </c>
      <c r="J6" s="9">
        <v>7.9002595574604005E-3</v>
      </c>
    </row>
    <row r="7" spans="1:10" x14ac:dyDescent="0.2">
      <c r="A7" s="6" t="s">
        <v>170</v>
      </c>
      <c r="B7" s="6" t="s">
        <v>167</v>
      </c>
      <c r="C7" s="6">
        <v>6111</v>
      </c>
      <c r="D7" s="7">
        <v>8501050</v>
      </c>
      <c r="E7" s="7">
        <v>5856028.6619999995</v>
      </c>
      <c r="F7" s="9">
        <v>0.68885945406743865</v>
      </c>
      <c r="G7" s="6">
        <v>1.156766486663394</v>
      </c>
      <c r="H7" s="9">
        <v>0.67779414171166752</v>
      </c>
      <c r="I7" s="10">
        <v>15.335400012336279</v>
      </c>
      <c r="J7" s="9">
        <v>9.8870420521419602E-2</v>
      </c>
    </row>
    <row r="8" spans="1:10" x14ac:dyDescent="0.2">
      <c r="A8" s="6" t="s">
        <v>170</v>
      </c>
      <c r="B8" s="6" t="s">
        <v>168</v>
      </c>
      <c r="C8" s="6">
        <v>8928</v>
      </c>
      <c r="D8" s="7">
        <v>14755586</v>
      </c>
      <c r="E8" s="7">
        <v>10252613.87132108</v>
      </c>
      <c r="F8" s="9">
        <v>0.69482932574288003</v>
      </c>
      <c r="G8" s="6">
        <v>1.168794802867384</v>
      </c>
      <c r="H8" s="9">
        <v>0.64079301075268813</v>
      </c>
      <c r="I8" s="10">
        <v>17.714552473459939</v>
      </c>
      <c r="J8" s="9">
        <v>0.1716130351968253</v>
      </c>
    </row>
    <row r="9" spans="1:10" x14ac:dyDescent="0.2">
      <c r="A9" s="6" t="s">
        <v>170</v>
      </c>
      <c r="B9" s="6" t="s">
        <v>169</v>
      </c>
      <c r="C9" s="6">
        <v>19034</v>
      </c>
      <c r="D9" s="7">
        <v>30716663</v>
      </c>
      <c r="E9" s="7">
        <v>21209479.16141323</v>
      </c>
      <c r="F9" s="9">
        <v>0.69048773824856002</v>
      </c>
      <c r="G9" s="6">
        <v>1.2143007250183879</v>
      </c>
      <c r="H9" s="9">
        <v>0.49416833035620461</v>
      </c>
      <c r="I9" s="10">
        <v>19.50569447714598</v>
      </c>
      <c r="J9" s="9">
        <v>0.35724638577878381</v>
      </c>
    </row>
    <row r="12" spans="1:10" ht="16" x14ac:dyDescent="0.2">
      <c r="A12" s="4" t="s">
        <v>171</v>
      </c>
    </row>
    <row r="14" spans="1:10" x14ac:dyDescent="0.2">
      <c r="A14" s="8" t="s">
        <v>156</v>
      </c>
      <c r="B14" s="8" t="s">
        <v>157</v>
      </c>
      <c r="C14" s="8" t="s">
        <v>172</v>
      </c>
      <c r="D14" s="8" t="s">
        <v>158</v>
      </c>
      <c r="E14" s="8" t="s">
        <v>159</v>
      </c>
      <c r="F14" s="8" t="s">
        <v>160</v>
      </c>
      <c r="G14" s="8" t="s">
        <v>161</v>
      </c>
      <c r="H14" s="8" t="s">
        <v>163</v>
      </c>
      <c r="I14" s="8" t="s">
        <v>164</v>
      </c>
    </row>
    <row r="15" spans="1:10" x14ac:dyDescent="0.2">
      <c r="A15" s="6" t="s">
        <v>166</v>
      </c>
      <c r="B15" s="6" t="s">
        <v>167</v>
      </c>
      <c r="C15" s="6" t="s">
        <v>24</v>
      </c>
      <c r="D15" s="6">
        <v>9956</v>
      </c>
      <c r="E15" s="7">
        <v>18172379</v>
      </c>
      <c r="F15" s="7">
        <v>12132185.83</v>
      </c>
      <c r="G15" s="9">
        <v>0.66761681725876398</v>
      </c>
      <c r="H15" s="9">
        <v>0.73875050220972283</v>
      </c>
      <c r="I15" s="10">
        <v>14.802897817060479</v>
      </c>
    </row>
    <row r="16" spans="1:10" x14ac:dyDescent="0.2">
      <c r="A16" s="6" t="s">
        <v>170</v>
      </c>
      <c r="B16" s="6" t="s">
        <v>169</v>
      </c>
      <c r="C16" s="6" t="s">
        <v>173</v>
      </c>
      <c r="D16" s="6">
        <v>8927</v>
      </c>
      <c r="E16" s="7">
        <v>12694907</v>
      </c>
      <c r="F16" s="7">
        <v>9035686.1154132299</v>
      </c>
      <c r="G16" s="9">
        <v>0.71175677895184497</v>
      </c>
      <c r="H16" s="9">
        <v>0.46185728688249128</v>
      </c>
      <c r="I16" s="10">
        <v>18.99310071349727</v>
      </c>
    </row>
    <row r="17" spans="1:9" x14ac:dyDescent="0.2">
      <c r="A17" s="6" t="s">
        <v>170</v>
      </c>
      <c r="B17" s="6" t="s">
        <v>169</v>
      </c>
      <c r="C17" s="6" t="s">
        <v>24</v>
      </c>
      <c r="D17" s="6">
        <v>5550</v>
      </c>
      <c r="E17" s="7">
        <v>10530144</v>
      </c>
      <c r="F17" s="7">
        <v>6896898.1500000004</v>
      </c>
      <c r="G17" s="9">
        <v>0.65496712580568706</v>
      </c>
      <c r="H17" s="9">
        <v>0.58900900900900899</v>
      </c>
      <c r="I17" s="10">
        <v>21.31625375098135</v>
      </c>
    </row>
    <row r="18" spans="1:9" x14ac:dyDescent="0.2">
      <c r="A18" s="6" t="s">
        <v>170</v>
      </c>
      <c r="B18" s="6" t="s">
        <v>169</v>
      </c>
      <c r="C18" s="6" t="s">
        <v>174</v>
      </c>
      <c r="D18" s="6">
        <v>4557</v>
      </c>
      <c r="E18" s="7">
        <v>7491612</v>
      </c>
      <c r="F18" s="7">
        <v>5276894.8959999997</v>
      </c>
      <c r="G18" s="9">
        <v>0.70437375774399413</v>
      </c>
      <c r="H18" s="9">
        <v>0.4419574281325433</v>
      </c>
      <c r="I18" s="10">
        <v>18.299806048948749</v>
      </c>
    </row>
    <row r="19" spans="1:9" x14ac:dyDescent="0.2">
      <c r="A19" s="6" t="s">
        <v>170</v>
      </c>
      <c r="B19" s="6" t="s">
        <v>168</v>
      </c>
      <c r="C19" s="6" t="s">
        <v>173</v>
      </c>
      <c r="D19" s="6">
        <v>4807</v>
      </c>
      <c r="E19" s="7">
        <v>7163101</v>
      </c>
      <c r="F19" s="7">
        <v>5153564.9793210803</v>
      </c>
      <c r="G19" s="9">
        <v>0.71946004660845631</v>
      </c>
      <c r="H19" s="9">
        <v>0.5995423340961098</v>
      </c>
      <c r="I19" s="10">
        <v>16.721182275291682</v>
      </c>
    </row>
    <row r="20" spans="1:9" x14ac:dyDescent="0.2">
      <c r="A20" s="6" t="s">
        <v>170</v>
      </c>
      <c r="B20" s="6" t="s">
        <v>167</v>
      </c>
      <c r="C20" s="6" t="s">
        <v>24</v>
      </c>
      <c r="D20" s="6">
        <v>3418</v>
      </c>
      <c r="E20" s="7">
        <v>5535448</v>
      </c>
      <c r="F20" s="7">
        <v>3710622.0780000002</v>
      </c>
      <c r="G20" s="9">
        <v>0.67033816919606148</v>
      </c>
      <c r="H20" s="9">
        <v>0.75804564072557046</v>
      </c>
      <c r="I20" s="10">
        <v>17.895515159245821</v>
      </c>
    </row>
    <row r="21" spans="1:9" x14ac:dyDescent="0.2">
      <c r="A21" s="6" t="s">
        <v>170</v>
      </c>
      <c r="B21" s="6" t="s">
        <v>168</v>
      </c>
      <c r="C21" s="6" t="s">
        <v>24</v>
      </c>
      <c r="D21" s="6">
        <v>2816</v>
      </c>
      <c r="E21" s="7">
        <v>5494107</v>
      </c>
      <c r="F21" s="7">
        <v>3593757.2540000002</v>
      </c>
      <c r="G21" s="9">
        <v>0.65411126030126465</v>
      </c>
      <c r="H21" s="9">
        <v>0.74005681818181823</v>
      </c>
      <c r="I21" s="10">
        <v>20.643190799110151</v>
      </c>
    </row>
    <row r="22" spans="1:9" x14ac:dyDescent="0.2">
      <c r="A22" s="6" t="s">
        <v>166</v>
      </c>
      <c r="B22" s="6" t="s">
        <v>168</v>
      </c>
      <c r="C22" s="6" t="s">
        <v>173</v>
      </c>
      <c r="D22" s="6">
        <v>2505</v>
      </c>
      <c r="E22" s="7">
        <v>4538991</v>
      </c>
      <c r="F22" s="7">
        <v>3199468.9094132301</v>
      </c>
      <c r="G22" s="9">
        <v>0.70488549314445215</v>
      </c>
      <c r="H22" s="9">
        <v>0.62674650698602796</v>
      </c>
      <c r="I22" s="10">
        <v>18.526395853096069</v>
      </c>
    </row>
    <row r="23" spans="1:9" x14ac:dyDescent="0.2">
      <c r="A23" s="6" t="s">
        <v>166</v>
      </c>
      <c r="B23" s="6" t="s">
        <v>167</v>
      </c>
      <c r="C23" s="6" t="s">
        <v>173</v>
      </c>
      <c r="D23" s="6">
        <v>2886</v>
      </c>
      <c r="E23" s="7">
        <v>3820956</v>
      </c>
      <c r="F23" s="7">
        <v>2731187.111333333</v>
      </c>
      <c r="G23" s="9">
        <v>0.71479156298406299</v>
      </c>
      <c r="H23" s="9">
        <v>0.70824670824670821</v>
      </c>
      <c r="I23" s="10">
        <v>15.01339959012831</v>
      </c>
    </row>
    <row r="24" spans="1:9" x14ac:dyDescent="0.2">
      <c r="A24" s="6" t="s">
        <v>170</v>
      </c>
      <c r="B24" s="6" t="s">
        <v>167</v>
      </c>
      <c r="C24" s="6" t="s">
        <v>173</v>
      </c>
      <c r="D24" s="6">
        <v>2226</v>
      </c>
      <c r="E24" s="7">
        <v>2390813</v>
      </c>
      <c r="F24" s="7">
        <v>1720564.5279999999</v>
      </c>
      <c r="G24" s="9">
        <v>0.71965667243736753</v>
      </c>
      <c r="H24" s="9">
        <v>0.58894878706199461</v>
      </c>
      <c r="I24" s="10">
        <v>12.515946293996469</v>
      </c>
    </row>
    <row r="25" spans="1:9" x14ac:dyDescent="0.2">
      <c r="A25" s="6" t="s">
        <v>166</v>
      </c>
      <c r="B25" s="6" t="s">
        <v>168</v>
      </c>
      <c r="C25" s="6" t="s">
        <v>24</v>
      </c>
      <c r="D25" s="6">
        <v>614</v>
      </c>
      <c r="E25" s="7">
        <v>2325722</v>
      </c>
      <c r="F25" s="7">
        <v>1448710.014</v>
      </c>
      <c r="G25" s="9">
        <v>0.62290764502378182</v>
      </c>
      <c r="H25" s="9">
        <v>0.65146579804560256</v>
      </c>
      <c r="I25" s="10">
        <v>18.186124135865761</v>
      </c>
    </row>
    <row r="26" spans="1:9" x14ac:dyDescent="0.2">
      <c r="A26" s="6" t="s">
        <v>170</v>
      </c>
      <c r="B26" s="6" t="s">
        <v>168</v>
      </c>
      <c r="C26" s="6" t="s">
        <v>174</v>
      </c>
      <c r="D26" s="6">
        <v>1305</v>
      </c>
      <c r="E26" s="7">
        <v>2098378</v>
      </c>
      <c r="F26" s="7">
        <v>1505291.638</v>
      </c>
      <c r="G26" s="9">
        <v>0.71735961680879234</v>
      </c>
      <c r="H26" s="9">
        <v>0.57854406130268199</v>
      </c>
      <c r="I26" s="10">
        <v>15.05632538985037</v>
      </c>
    </row>
    <row r="27" spans="1:9" x14ac:dyDescent="0.2">
      <c r="A27" s="6" t="s">
        <v>166</v>
      </c>
      <c r="B27" s="6" t="s">
        <v>167</v>
      </c>
      <c r="C27" s="6" t="s">
        <v>174</v>
      </c>
      <c r="D27" s="6">
        <v>1133</v>
      </c>
      <c r="E27" s="7">
        <v>1525659</v>
      </c>
      <c r="F27" s="7">
        <v>1094200.55</v>
      </c>
      <c r="G27" s="9">
        <v>0.7171986335085363</v>
      </c>
      <c r="H27" s="9">
        <v>0.52691968225948804</v>
      </c>
      <c r="I27" s="10">
        <v>10.297765533643821</v>
      </c>
    </row>
    <row r="28" spans="1:9" x14ac:dyDescent="0.2">
      <c r="A28" s="6" t="s">
        <v>166</v>
      </c>
      <c r="B28" s="6" t="s">
        <v>168</v>
      </c>
      <c r="C28" s="6" t="s">
        <v>174</v>
      </c>
      <c r="D28" s="6">
        <v>388</v>
      </c>
      <c r="E28" s="7">
        <v>945448</v>
      </c>
      <c r="F28" s="7">
        <v>679285.97600000002</v>
      </c>
      <c r="G28" s="9">
        <v>0.71848052563440823</v>
      </c>
      <c r="H28" s="9">
        <v>0.61855670103092786</v>
      </c>
      <c r="I28" s="10">
        <v>15.193490367080219</v>
      </c>
    </row>
    <row r="29" spans="1:9" x14ac:dyDescent="0.2">
      <c r="A29" s="6" t="s">
        <v>170</v>
      </c>
      <c r="B29" s="6" t="s">
        <v>167</v>
      </c>
      <c r="C29" s="6" t="s">
        <v>174</v>
      </c>
      <c r="D29" s="6">
        <v>467</v>
      </c>
      <c r="E29" s="7">
        <v>574789</v>
      </c>
      <c r="F29" s="7">
        <v>424842.05599999998</v>
      </c>
      <c r="G29" s="9">
        <v>0.73912697702983177</v>
      </c>
      <c r="H29" s="9">
        <v>0.51391862955032119</v>
      </c>
      <c r="I29" s="10">
        <v>9.5221212609752648</v>
      </c>
    </row>
    <row r="30" spans="1:9" x14ac:dyDescent="0.2">
      <c r="A30" s="6" t="s">
        <v>166</v>
      </c>
      <c r="B30" s="6" t="s">
        <v>169</v>
      </c>
      <c r="C30" s="6" t="s">
        <v>24</v>
      </c>
      <c r="D30" s="6">
        <v>107</v>
      </c>
      <c r="E30" s="7">
        <v>493166</v>
      </c>
      <c r="F30" s="7">
        <v>330466.45600000001</v>
      </c>
      <c r="G30" s="9">
        <v>0.67009172570696274</v>
      </c>
      <c r="H30" s="9">
        <v>0.80373831775700932</v>
      </c>
      <c r="I30" s="10">
        <v>21.391021259876819</v>
      </c>
    </row>
    <row r="31" spans="1:9" x14ac:dyDescent="0.2">
      <c r="A31" s="6" t="s">
        <v>166</v>
      </c>
      <c r="B31" s="6" t="s">
        <v>169</v>
      </c>
      <c r="C31" s="6" t="s">
        <v>173</v>
      </c>
      <c r="D31" s="6">
        <v>37</v>
      </c>
      <c r="E31" s="7">
        <v>157334</v>
      </c>
      <c r="F31" s="7">
        <v>105238.81600000001</v>
      </c>
      <c r="G31" s="9">
        <v>0.66888794539006191</v>
      </c>
      <c r="H31" s="9">
        <v>0.6216216216216216</v>
      </c>
      <c r="I31" s="10">
        <v>22.568649131282811</v>
      </c>
    </row>
    <row r="32" spans="1:9" x14ac:dyDescent="0.2">
      <c r="A32" s="6" t="s">
        <v>166</v>
      </c>
      <c r="B32" s="6" t="s">
        <v>169</v>
      </c>
      <c r="C32" s="6" t="s">
        <v>174</v>
      </c>
      <c r="D32" s="6">
        <v>2</v>
      </c>
      <c r="E32" s="7">
        <v>28778</v>
      </c>
      <c r="F32" s="7">
        <v>19685.02</v>
      </c>
      <c r="G32" s="9">
        <v>0.68403016192925148</v>
      </c>
      <c r="H32" s="9">
        <v>1</v>
      </c>
      <c r="I32" s="10">
        <v>29.88105284325578</v>
      </c>
    </row>
    <row r="35" spans="1:3" ht="16" x14ac:dyDescent="0.2">
      <c r="A35" s="4" t="s">
        <v>175</v>
      </c>
    </row>
    <row r="37" spans="1:3" x14ac:dyDescent="0.2">
      <c r="A37" s="8" t="s">
        <v>176</v>
      </c>
      <c r="B37" s="8" t="s">
        <v>177</v>
      </c>
      <c r="C37" s="8" t="s">
        <v>178</v>
      </c>
    </row>
    <row r="38" spans="1:3" x14ac:dyDescent="0.2">
      <c r="A38" s="6" t="s">
        <v>167</v>
      </c>
      <c r="B38" s="6" t="s">
        <v>179</v>
      </c>
      <c r="C38" s="6">
        <v>3519</v>
      </c>
    </row>
    <row r="39" spans="1:3" x14ac:dyDescent="0.2">
      <c r="A39" s="6" t="s">
        <v>167</v>
      </c>
      <c r="B39" s="6" t="s">
        <v>180</v>
      </c>
      <c r="C39" s="6">
        <v>3209</v>
      </c>
    </row>
    <row r="40" spans="1:3" x14ac:dyDescent="0.2">
      <c r="A40" s="6" t="s">
        <v>167</v>
      </c>
      <c r="B40" s="6" t="s">
        <v>181</v>
      </c>
      <c r="C40" s="6">
        <v>2438</v>
      </c>
    </row>
    <row r="41" spans="1:3" x14ac:dyDescent="0.2">
      <c r="A41" s="6" t="s">
        <v>167</v>
      </c>
      <c r="B41" s="6" t="s">
        <v>182</v>
      </c>
      <c r="C41" s="6">
        <v>848</v>
      </c>
    </row>
    <row r="42" spans="1:3" x14ac:dyDescent="0.2">
      <c r="A42" s="6" t="s">
        <v>167</v>
      </c>
      <c r="B42" s="6" t="s">
        <v>31</v>
      </c>
      <c r="C42" s="6">
        <v>666</v>
      </c>
    </row>
    <row r="43" spans="1:3" x14ac:dyDescent="0.2">
      <c r="A43" s="6" t="s">
        <v>168</v>
      </c>
      <c r="B43" s="6" t="s">
        <v>180</v>
      </c>
      <c r="C43" s="6">
        <v>1507</v>
      </c>
    </row>
    <row r="44" spans="1:3" x14ac:dyDescent="0.2">
      <c r="A44" s="6" t="s">
        <v>168</v>
      </c>
      <c r="B44" s="6" t="s">
        <v>179</v>
      </c>
      <c r="C44" s="6">
        <v>1399</v>
      </c>
    </row>
    <row r="45" spans="1:3" x14ac:dyDescent="0.2">
      <c r="A45" s="6" t="s">
        <v>168</v>
      </c>
      <c r="B45" s="6" t="s">
        <v>181</v>
      </c>
      <c r="C45" s="6">
        <v>973</v>
      </c>
    </row>
    <row r="46" spans="1:3" x14ac:dyDescent="0.2">
      <c r="A46" s="6" t="s">
        <v>168</v>
      </c>
      <c r="B46" s="6" t="s">
        <v>183</v>
      </c>
      <c r="C46" s="6">
        <v>447</v>
      </c>
    </row>
    <row r="47" spans="1:3" x14ac:dyDescent="0.2">
      <c r="A47" s="6" t="s">
        <v>168</v>
      </c>
      <c r="B47" s="6" t="s">
        <v>184</v>
      </c>
      <c r="C47" s="6">
        <v>365</v>
      </c>
    </row>
    <row r="48" spans="1:3" x14ac:dyDescent="0.2">
      <c r="A48" s="6" t="s">
        <v>169</v>
      </c>
      <c r="B48" s="6" t="s">
        <v>180</v>
      </c>
      <c r="C48" s="6">
        <v>2397</v>
      </c>
    </row>
    <row r="49" spans="1:3" x14ac:dyDescent="0.2">
      <c r="A49" s="6" t="s">
        <v>169</v>
      </c>
      <c r="B49" s="6" t="s">
        <v>181</v>
      </c>
      <c r="C49" s="6">
        <v>1572</v>
      </c>
    </row>
    <row r="50" spans="1:3" x14ac:dyDescent="0.2">
      <c r="A50" s="6" t="s">
        <v>169</v>
      </c>
      <c r="B50" s="6" t="s">
        <v>182</v>
      </c>
      <c r="C50" s="6">
        <v>569</v>
      </c>
    </row>
    <row r="51" spans="1:3" x14ac:dyDescent="0.2">
      <c r="A51" s="6" t="s">
        <v>169</v>
      </c>
      <c r="B51" s="6" t="s">
        <v>184</v>
      </c>
      <c r="C51" s="6">
        <v>524</v>
      </c>
    </row>
    <row r="52" spans="1:3" x14ac:dyDescent="0.2">
      <c r="A52" s="6" t="s">
        <v>169</v>
      </c>
      <c r="B52" s="6" t="s">
        <v>31</v>
      </c>
      <c r="C52" s="6">
        <v>517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2"/>
  <sheetViews>
    <sheetView showGridLines="0" topLeftCell="A70" workbookViewId="0">
      <selection activeCell="I83" sqref="I83"/>
    </sheetView>
  </sheetViews>
  <sheetFormatPr baseColWidth="10" defaultColWidth="8.83203125" defaultRowHeight="15" x14ac:dyDescent="0.2"/>
  <cols>
    <col min="1" max="1" width="100" customWidth="1"/>
  </cols>
  <sheetData>
    <row r="1" spans="1:8" ht="17" x14ac:dyDescent="0.2">
      <c r="A1" s="11" t="s">
        <v>185</v>
      </c>
    </row>
    <row r="3" spans="1:8" ht="56" x14ac:dyDescent="0.2">
      <c r="A3" s="5" t="s">
        <v>186</v>
      </c>
      <c r="B3" s="5" t="s">
        <v>187</v>
      </c>
      <c r="C3" s="5" t="s">
        <v>188</v>
      </c>
      <c r="D3" s="5" t="s">
        <v>189</v>
      </c>
      <c r="E3" s="5" t="s">
        <v>190</v>
      </c>
      <c r="F3" s="5" t="s">
        <v>191</v>
      </c>
      <c r="G3" s="5" t="s">
        <v>192</v>
      </c>
      <c r="H3" s="5" t="s">
        <v>193</v>
      </c>
    </row>
    <row r="4" spans="1:8" x14ac:dyDescent="0.2">
      <c r="A4" s="6" t="s">
        <v>194</v>
      </c>
      <c r="B4" s="6">
        <v>0</v>
      </c>
      <c r="C4" s="6" t="s">
        <v>195</v>
      </c>
      <c r="D4" s="6">
        <v>5</v>
      </c>
      <c r="E4" s="6">
        <v>0</v>
      </c>
      <c r="F4" s="6" t="s">
        <v>196</v>
      </c>
      <c r="G4" s="6" t="s">
        <v>196</v>
      </c>
      <c r="H4" s="6"/>
    </row>
    <row r="5" spans="1:8" x14ac:dyDescent="0.2">
      <c r="A5" s="6" t="s">
        <v>197</v>
      </c>
      <c r="B5" s="6">
        <v>1499</v>
      </c>
      <c r="C5" s="6" t="s">
        <v>195</v>
      </c>
      <c r="D5" s="6">
        <v>20</v>
      </c>
      <c r="E5" s="6">
        <v>20</v>
      </c>
      <c r="F5" s="6" t="s">
        <v>196</v>
      </c>
      <c r="G5" s="6" t="s">
        <v>196</v>
      </c>
      <c r="H5" s="6"/>
    </row>
    <row r="6" spans="1:8" x14ac:dyDescent="0.2">
      <c r="A6" s="6" t="s">
        <v>198</v>
      </c>
      <c r="B6" s="6">
        <v>2499</v>
      </c>
      <c r="C6" s="6" t="s">
        <v>195</v>
      </c>
      <c r="D6" s="6">
        <v>22</v>
      </c>
      <c r="E6" s="6">
        <v>22</v>
      </c>
      <c r="F6" s="6" t="s">
        <v>196</v>
      </c>
      <c r="G6" s="6" t="s">
        <v>196</v>
      </c>
      <c r="H6" s="6"/>
    </row>
    <row r="7" spans="1:8" x14ac:dyDescent="0.2">
      <c r="A7" s="6" t="s">
        <v>182</v>
      </c>
      <c r="B7" s="6">
        <v>1499</v>
      </c>
      <c r="C7" s="6" t="s">
        <v>195</v>
      </c>
      <c r="D7" s="6">
        <v>20</v>
      </c>
      <c r="E7" s="6">
        <v>20</v>
      </c>
      <c r="F7" s="6" t="s">
        <v>196</v>
      </c>
      <c r="G7" s="6" t="s">
        <v>196</v>
      </c>
      <c r="H7" s="6"/>
    </row>
    <row r="8" spans="1:8" x14ac:dyDescent="0.2">
      <c r="A8" s="6" t="s">
        <v>199</v>
      </c>
      <c r="B8" s="6">
        <v>10</v>
      </c>
      <c r="C8" s="6" t="s">
        <v>195</v>
      </c>
      <c r="D8" s="6">
        <v>21</v>
      </c>
      <c r="E8" s="6">
        <v>21</v>
      </c>
      <c r="F8" s="6" t="s">
        <v>196</v>
      </c>
      <c r="G8" s="6" t="s">
        <v>196</v>
      </c>
      <c r="H8" s="6"/>
    </row>
    <row r="9" spans="1:8" x14ac:dyDescent="0.2">
      <c r="A9" s="6" t="s">
        <v>200</v>
      </c>
      <c r="B9" s="6">
        <v>10</v>
      </c>
      <c r="C9" s="6" t="s">
        <v>195</v>
      </c>
      <c r="D9" s="6">
        <v>15</v>
      </c>
      <c r="E9" s="6">
        <v>15</v>
      </c>
      <c r="F9" s="6" t="s">
        <v>196</v>
      </c>
      <c r="G9" s="6" t="s">
        <v>196</v>
      </c>
      <c r="H9" s="6"/>
    </row>
    <row r="10" spans="1:8" x14ac:dyDescent="0.2">
      <c r="A10" s="6" t="s">
        <v>31</v>
      </c>
      <c r="B10" s="6">
        <v>4299</v>
      </c>
      <c r="C10" s="6" t="s">
        <v>195</v>
      </c>
      <c r="D10" s="6">
        <v>25</v>
      </c>
      <c r="E10" s="6">
        <v>25</v>
      </c>
      <c r="F10" s="6" t="s">
        <v>196</v>
      </c>
      <c r="G10" s="6" t="s">
        <v>196</v>
      </c>
      <c r="H10" s="6"/>
    </row>
    <row r="11" spans="1:8" x14ac:dyDescent="0.2">
      <c r="A11" s="6" t="s">
        <v>179</v>
      </c>
      <c r="B11" s="6">
        <v>799</v>
      </c>
      <c r="C11" s="6" t="s">
        <v>195</v>
      </c>
      <c r="D11" s="6">
        <v>15</v>
      </c>
      <c r="E11" s="6">
        <v>15</v>
      </c>
      <c r="F11" s="6" t="s">
        <v>196</v>
      </c>
      <c r="G11" s="6" t="s">
        <v>196</v>
      </c>
      <c r="H11" s="6"/>
    </row>
    <row r="12" spans="1:8" x14ac:dyDescent="0.2">
      <c r="A12" s="6" t="s">
        <v>201</v>
      </c>
      <c r="B12" s="6">
        <v>1349</v>
      </c>
      <c r="C12" s="6" t="s">
        <v>195</v>
      </c>
      <c r="D12" s="6">
        <v>20</v>
      </c>
      <c r="E12" s="6">
        <v>20</v>
      </c>
      <c r="F12" s="6" t="s">
        <v>196</v>
      </c>
      <c r="G12" s="6" t="s">
        <v>196</v>
      </c>
      <c r="H12" s="6"/>
    </row>
    <row r="13" spans="1:8" x14ac:dyDescent="0.2">
      <c r="A13" s="6" t="s">
        <v>202</v>
      </c>
      <c r="B13" s="6">
        <v>0</v>
      </c>
      <c r="C13" s="6" t="s">
        <v>195</v>
      </c>
      <c r="D13" s="6">
        <v>15</v>
      </c>
      <c r="E13" s="6">
        <v>15</v>
      </c>
      <c r="F13" s="6" t="s">
        <v>196</v>
      </c>
      <c r="G13" s="6" t="s">
        <v>196</v>
      </c>
      <c r="H13" s="6"/>
    </row>
    <row r="14" spans="1:8" x14ac:dyDescent="0.2">
      <c r="A14" s="6" t="s">
        <v>203</v>
      </c>
      <c r="B14" s="6">
        <v>199</v>
      </c>
      <c r="C14" s="6" t="s">
        <v>195</v>
      </c>
      <c r="D14" s="6">
        <v>10</v>
      </c>
      <c r="E14" s="6">
        <v>10</v>
      </c>
      <c r="F14" s="6" t="s">
        <v>196</v>
      </c>
      <c r="G14" s="6" t="s">
        <v>196</v>
      </c>
      <c r="H14" s="6" t="s">
        <v>204</v>
      </c>
    </row>
    <row r="15" spans="1:8" x14ac:dyDescent="0.2">
      <c r="A15" s="6" t="s">
        <v>205</v>
      </c>
      <c r="B15" s="6">
        <v>1299</v>
      </c>
      <c r="C15" s="6" t="s">
        <v>206</v>
      </c>
      <c r="D15" s="6">
        <v>100</v>
      </c>
      <c r="E15" s="6">
        <v>0</v>
      </c>
      <c r="F15" s="6" t="s">
        <v>196</v>
      </c>
      <c r="G15" s="6" t="s">
        <v>196</v>
      </c>
      <c r="H15" s="6"/>
    </row>
    <row r="16" spans="1:8" x14ac:dyDescent="0.2">
      <c r="A16" s="6" t="s">
        <v>207</v>
      </c>
      <c r="B16" s="6">
        <v>100</v>
      </c>
      <c r="C16" s="6" t="s">
        <v>195</v>
      </c>
      <c r="D16" s="6">
        <v>15</v>
      </c>
      <c r="E16" s="6">
        <v>15</v>
      </c>
      <c r="F16" s="6" t="s">
        <v>196</v>
      </c>
      <c r="G16" s="6" t="s">
        <v>196</v>
      </c>
      <c r="H16" s="6"/>
    </row>
    <row r="17" spans="1:8" x14ac:dyDescent="0.2">
      <c r="A17" s="6" t="s">
        <v>208</v>
      </c>
      <c r="B17" s="6">
        <v>0</v>
      </c>
      <c r="C17" s="6" t="s">
        <v>195</v>
      </c>
      <c r="D17" s="6">
        <v>20</v>
      </c>
      <c r="E17" s="6">
        <v>20</v>
      </c>
      <c r="F17" s="6" t="s">
        <v>196</v>
      </c>
      <c r="G17" s="6" t="s">
        <v>196</v>
      </c>
      <c r="H17" s="6"/>
    </row>
    <row r="18" spans="1:8" x14ac:dyDescent="0.2">
      <c r="A18" s="6" t="s">
        <v>209</v>
      </c>
      <c r="B18" s="6">
        <v>0</v>
      </c>
      <c r="C18" s="6" t="s">
        <v>195</v>
      </c>
      <c r="D18" s="6">
        <v>15</v>
      </c>
      <c r="E18" s="6">
        <v>15</v>
      </c>
      <c r="F18" s="6" t="s">
        <v>196</v>
      </c>
      <c r="G18" s="6" t="s">
        <v>196</v>
      </c>
      <c r="H18" s="6" t="s">
        <v>210</v>
      </c>
    </row>
    <row r="19" spans="1:8" x14ac:dyDescent="0.2">
      <c r="A19" s="6" t="s">
        <v>211</v>
      </c>
      <c r="B19" s="6">
        <v>0</v>
      </c>
      <c r="C19" s="6" t="s">
        <v>195</v>
      </c>
      <c r="D19" s="6">
        <v>15</v>
      </c>
      <c r="E19" s="6">
        <v>15</v>
      </c>
      <c r="F19" s="6" t="s">
        <v>196</v>
      </c>
      <c r="G19" s="6" t="s">
        <v>196</v>
      </c>
      <c r="H19" s="6" t="s">
        <v>210</v>
      </c>
    </row>
    <row r="20" spans="1:8" x14ac:dyDescent="0.2">
      <c r="A20" s="6" t="s">
        <v>212</v>
      </c>
      <c r="B20" s="6">
        <v>0</v>
      </c>
      <c r="C20" s="6" t="s">
        <v>195</v>
      </c>
      <c r="D20" s="6">
        <v>15</v>
      </c>
      <c r="E20" s="6">
        <v>15</v>
      </c>
      <c r="F20" s="6" t="s">
        <v>196</v>
      </c>
      <c r="G20" s="6" t="s">
        <v>196</v>
      </c>
      <c r="H20" s="6" t="s">
        <v>210</v>
      </c>
    </row>
    <row r="21" spans="1:8" x14ac:dyDescent="0.2">
      <c r="A21" s="6" t="s">
        <v>213</v>
      </c>
      <c r="B21" s="6">
        <v>10</v>
      </c>
      <c r="C21" s="6" t="s">
        <v>195</v>
      </c>
      <c r="D21" s="6">
        <v>15</v>
      </c>
      <c r="E21" s="6">
        <v>15</v>
      </c>
      <c r="F21" s="6" t="s">
        <v>196</v>
      </c>
      <c r="G21" s="6" t="s">
        <v>196</v>
      </c>
      <c r="H21" s="6" t="s">
        <v>210</v>
      </c>
    </row>
    <row r="22" spans="1:8" x14ac:dyDescent="0.2">
      <c r="A22" s="6" t="s">
        <v>214</v>
      </c>
      <c r="B22" s="6">
        <v>10</v>
      </c>
      <c r="C22" s="6" t="s">
        <v>195</v>
      </c>
      <c r="D22" s="6">
        <v>15</v>
      </c>
      <c r="E22" s="6">
        <v>0</v>
      </c>
      <c r="F22" s="6" t="s">
        <v>196</v>
      </c>
      <c r="G22" s="6" t="s">
        <v>196</v>
      </c>
      <c r="H22" s="6"/>
    </row>
    <row r="23" spans="1:8" x14ac:dyDescent="0.2">
      <c r="A23" s="6" t="s">
        <v>215</v>
      </c>
      <c r="B23" s="6">
        <v>999</v>
      </c>
      <c r="C23" s="6" t="s">
        <v>195</v>
      </c>
      <c r="D23" s="6">
        <v>10</v>
      </c>
      <c r="E23" s="6">
        <v>20</v>
      </c>
      <c r="F23" s="6" t="s">
        <v>196</v>
      </c>
      <c r="G23" s="6" t="s">
        <v>196</v>
      </c>
      <c r="H23" s="6"/>
    </row>
    <row r="24" spans="1:8" x14ac:dyDescent="0.2">
      <c r="A24" s="6" t="s">
        <v>216</v>
      </c>
      <c r="B24" s="6">
        <v>0</v>
      </c>
      <c r="C24" s="6" t="s">
        <v>195</v>
      </c>
      <c r="D24" s="6">
        <v>26</v>
      </c>
      <c r="E24" s="6">
        <v>26</v>
      </c>
      <c r="F24" s="6" t="s">
        <v>196</v>
      </c>
      <c r="G24" s="6" t="s">
        <v>196</v>
      </c>
      <c r="H24" s="6"/>
    </row>
    <row r="25" spans="1:8" x14ac:dyDescent="0.2">
      <c r="A25" s="6" t="s">
        <v>217</v>
      </c>
      <c r="B25" s="6">
        <v>2000</v>
      </c>
      <c r="C25" s="6" t="s">
        <v>206</v>
      </c>
      <c r="D25" s="6">
        <v>1347</v>
      </c>
      <c r="E25" s="6">
        <v>100</v>
      </c>
      <c r="F25" s="6" t="s">
        <v>196</v>
      </c>
      <c r="G25" s="6" t="s">
        <v>196</v>
      </c>
      <c r="H25" s="6" t="s">
        <v>218</v>
      </c>
    </row>
    <row r="26" spans="1:8" x14ac:dyDescent="0.2">
      <c r="A26" s="6" t="s">
        <v>219</v>
      </c>
      <c r="B26" s="6">
        <v>9</v>
      </c>
      <c r="C26" s="6" t="s">
        <v>195</v>
      </c>
      <c r="D26" s="6">
        <v>10</v>
      </c>
      <c r="E26" s="6">
        <v>100</v>
      </c>
      <c r="F26" s="6" t="s">
        <v>196</v>
      </c>
      <c r="G26" s="6" t="s">
        <v>196</v>
      </c>
      <c r="H26" s="6" t="s">
        <v>220</v>
      </c>
    </row>
    <row r="27" spans="1:8" x14ac:dyDescent="0.2">
      <c r="A27" s="6" t="s">
        <v>221</v>
      </c>
      <c r="B27" s="6">
        <v>809</v>
      </c>
      <c r="C27" s="6" t="s">
        <v>195</v>
      </c>
      <c r="D27" s="6">
        <v>10</v>
      </c>
      <c r="E27" s="6">
        <v>10</v>
      </c>
      <c r="F27" s="6" t="s">
        <v>196</v>
      </c>
      <c r="G27" s="6" t="s">
        <v>196</v>
      </c>
      <c r="H27" s="6" t="s">
        <v>210</v>
      </c>
    </row>
    <row r="28" spans="1:8" x14ac:dyDescent="0.2">
      <c r="A28" s="6" t="s">
        <v>222</v>
      </c>
      <c r="B28" s="6">
        <v>0</v>
      </c>
      <c r="C28" s="6" t="s">
        <v>195</v>
      </c>
      <c r="D28" s="6">
        <v>15</v>
      </c>
      <c r="E28" s="6">
        <v>20</v>
      </c>
      <c r="F28" s="6" t="s">
        <v>196</v>
      </c>
      <c r="G28" s="6" t="s">
        <v>196</v>
      </c>
      <c r="H28" s="6" t="s">
        <v>210</v>
      </c>
    </row>
    <row r="29" spans="1:8" x14ac:dyDescent="0.2">
      <c r="A29" s="6" t="s">
        <v>223</v>
      </c>
      <c r="B29" s="6">
        <v>0</v>
      </c>
      <c r="C29" s="6" t="s">
        <v>195</v>
      </c>
      <c r="D29" s="6">
        <v>5</v>
      </c>
      <c r="E29" s="6">
        <v>20</v>
      </c>
      <c r="F29" s="6" t="s">
        <v>196</v>
      </c>
      <c r="G29" s="6" t="s">
        <v>196</v>
      </c>
      <c r="H29" s="6" t="s">
        <v>210</v>
      </c>
    </row>
    <row r="30" spans="1:8" x14ac:dyDescent="0.2">
      <c r="A30" s="6" t="s">
        <v>224</v>
      </c>
      <c r="B30" s="6">
        <v>0</v>
      </c>
      <c r="C30" s="6" t="s">
        <v>195</v>
      </c>
      <c r="D30" s="6">
        <v>40</v>
      </c>
      <c r="E30" s="6">
        <v>40</v>
      </c>
      <c r="F30" s="6" t="s">
        <v>196</v>
      </c>
      <c r="G30" s="6" t="s">
        <v>196</v>
      </c>
      <c r="H30" s="6"/>
    </row>
    <row r="31" spans="1:8" x14ac:dyDescent="0.2">
      <c r="A31" s="6" t="s">
        <v>225</v>
      </c>
      <c r="B31" s="6">
        <v>999</v>
      </c>
      <c r="C31" s="6" t="s">
        <v>195</v>
      </c>
      <c r="D31" s="6">
        <v>5</v>
      </c>
      <c r="E31" s="6">
        <v>15</v>
      </c>
      <c r="F31" s="6" t="s">
        <v>196</v>
      </c>
      <c r="G31" s="6" t="s">
        <v>196</v>
      </c>
      <c r="H31" s="6" t="s">
        <v>226</v>
      </c>
    </row>
    <row r="32" spans="1:8" x14ac:dyDescent="0.2">
      <c r="A32" s="6" t="s">
        <v>227</v>
      </c>
      <c r="B32" s="6">
        <v>999</v>
      </c>
      <c r="C32" s="6" t="s">
        <v>195</v>
      </c>
      <c r="D32" s="6">
        <v>5</v>
      </c>
      <c r="E32" s="6">
        <v>15</v>
      </c>
      <c r="F32" s="6" t="s">
        <v>196</v>
      </c>
      <c r="G32" s="6" t="s">
        <v>196</v>
      </c>
      <c r="H32" s="6" t="s">
        <v>226</v>
      </c>
    </row>
    <row r="33" spans="1:8" x14ac:dyDescent="0.2">
      <c r="A33" s="6" t="s">
        <v>228</v>
      </c>
      <c r="B33" s="6">
        <v>3600</v>
      </c>
      <c r="C33" s="6" t="s">
        <v>195</v>
      </c>
      <c r="D33" s="6">
        <v>15</v>
      </c>
      <c r="E33" s="6">
        <v>29</v>
      </c>
      <c r="F33" s="6" t="s">
        <v>196</v>
      </c>
      <c r="G33" s="6" t="s">
        <v>196</v>
      </c>
      <c r="H33" s="6" t="s">
        <v>229</v>
      </c>
    </row>
    <row r="34" spans="1:8" x14ac:dyDescent="0.2">
      <c r="A34" s="6" t="s">
        <v>230</v>
      </c>
      <c r="B34" s="6">
        <v>4000</v>
      </c>
      <c r="C34" s="6" t="s">
        <v>195</v>
      </c>
      <c r="D34" s="6">
        <v>15</v>
      </c>
      <c r="E34" s="6">
        <v>25</v>
      </c>
      <c r="F34" s="6" t="s">
        <v>196</v>
      </c>
      <c r="G34" s="6" t="s">
        <v>196</v>
      </c>
      <c r="H34" s="6" t="s">
        <v>229</v>
      </c>
    </row>
    <row r="35" spans="1:8" x14ac:dyDescent="0.2">
      <c r="A35" s="6" t="s">
        <v>231</v>
      </c>
      <c r="B35" s="6">
        <v>799</v>
      </c>
      <c r="C35" s="6" t="s">
        <v>195</v>
      </c>
      <c r="D35" s="6">
        <v>100</v>
      </c>
      <c r="E35" s="6">
        <v>100</v>
      </c>
      <c r="F35" s="6" t="s">
        <v>196</v>
      </c>
      <c r="G35" s="6" t="s">
        <v>232</v>
      </c>
      <c r="H35" s="6"/>
    </row>
    <row r="36" spans="1:8" x14ac:dyDescent="0.2">
      <c r="A36" s="6" t="s">
        <v>233</v>
      </c>
      <c r="B36" s="6">
        <v>8000</v>
      </c>
      <c r="C36" s="6" t="s">
        <v>195</v>
      </c>
      <c r="D36" s="6">
        <v>20</v>
      </c>
      <c r="E36" s="6">
        <v>30</v>
      </c>
      <c r="F36" s="6" t="s">
        <v>196</v>
      </c>
      <c r="G36" s="6" t="s">
        <v>196</v>
      </c>
      <c r="H36" s="6"/>
    </row>
    <row r="37" spans="1:8" x14ac:dyDescent="0.2">
      <c r="A37" s="6" t="s">
        <v>234</v>
      </c>
      <c r="B37" s="6">
        <v>2000</v>
      </c>
      <c r="C37" s="6" t="s">
        <v>195</v>
      </c>
      <c r="D37" s="6">
        <v>10</v>
      </c>
      <c r="E37" s="6">
        <v>20</v>
      </c>
      <c r="F37" s="6" t="s">
        <v>196</v>
      </c>
      <c r="G37" s="6" t="s">
        <v>196</v>
      </c>
      <c r="H37" s="6"/>
    </row>
    <row r="38" spans="1:8" x14ac:dyDescent="0.2">
      <c r="A38" s="6" t="s">
        <v>235</v>
      </c>
      <c r="B38" s="6">
        <v>8000</v>
      </c>
      <c r="C38" s="6" t="s">
        <v>195</v>
      </c>
      <c r="D38" s="6">
        <v>20</v>
      </c>
      <c r="E38" s="6">
        <v>30</v>
      </c>
      <c r="F38" s="6" t="s">
        <v>196</v>
      </c>
      <c r="G38" s="6" t="s">
        <v>196</v>
      </c>
      <c r="H38" s="6"/>
    </row>
    <row r="39" spans="1:8" x14ac:dyDescent="0.2">
      <c r="A39" s="6" t="s">
        <v>236</v>
      </c>
      <c r="B39" s="6">
        <v>2000</v>
      </c>
      <c r="C39" s="6" t="s">
        <v>195</v>
      </c>
      <c r="D39" s="6">
        <v>10</v>
      </c>
      <c r="E39" s="6">
        <v>20</v>
      </c>
      <c r="F39" s="6" t="s">
        <v>196</v>
      </c>
      <c r="G39" s="6" t="s">
        <v>196</v>
      </c>
      <c r="H39" s="6"/>
    </row>
    <row r="40" spans="1:8" x14ac:dyDescent="0.2">
      <c r="A40" s="6" t="s">
        <v>237</v>
      </c>
      <c r="B40" s="6">
        <v>2000</v>
      </c>
      <c r="C40" s="6" t="s">
        <v>195</v>
      </c>
      <c r="D40" s="6">
        <v>5</v>
      </c>
      <c r="E40" s="6">
        <v>5</v>
      </c>
      <c r="F40" s="6" t="s">
        <v>196</v>
      </c>
      <c r="G40" s="6" t="s">
        <v>196</v>
      </c>
      <c r="H40" s="6"/>
    </row>
    <row r="41" spans="1:8" x14ac:dyDescent="0.2">
      <c r="A41" s="6" t="s">
        <v>238</v>
      </c>
      <c r="B41" s="6">
        <v>2000</v>
      </c>
      <c r="C41" s="6" t="s">
        <v>195</v>
      </c>
      <c r="D41" s="6">
        <v>5</v>
      </c>
      <c r="E41" s="6">
        <v>5</v>
      </c>
      <c r="F41" s="6" t="s">
        <v>196</v>
      </c>
      <c r="G41" s="6" t="s">
        <v>196</v>
      </c>
      <c r="H41" s="6"/>
    </row>
    <row r="42" spans="1:8" x14ac:dyDescent="0.2">
      <c r="A42" s="6" t="s">
        <v>239</v>
      </c>
      <c r="B42" s="6">
        <v>398</v>
      </c>
      <c r="C42" s="6" t="s">
        <v>195</v>
      </c>
      <c r="D42" s="6">
        <v>20</v>
      </c>
      <c r="E42" s="6">
        <v>20</v>
      </c>
      <c r="F42" s="6" t="s">
        <v>196</v>
      </c>
      <c r="G42" s="6" t="s">
        <v>196</v>
      </c>
      <c r="H42" s="6"/>
    </row>
    <row r="43" spans="1:8" x14ac:dyDescent="0.2">
      <c r="A43" s="6" t="s">
        <v>240</v>
      </c>
      <c r="B43" s="6">
        <v>999</v>
      </c>
      <c r="C43" s="6" t="s">
        <v>206</v>
      </c>
      <c r="D43" s="6">
        <v>150</v>
      </c>
      <c r="E43" s="6">
        <v>0</v>
      </c>
      <c r="F43" s="6" t="s">
        <v>196</v>
      </c>
      <c r="G43" s="6" t="s">
        <v>196</v>
      </c>
      <c r="H43" s="6"/>
    </row>
    <row r="44" spans="1:8" x14ac:dyDescent="0.2">
      <c r="A44" s="6" t="s">
        <v>183</v>
      </c>
      <c r="B44" s="6">
        <v>1999</v>
      </c>
      <c r="C44" s="6" t="s">
        <v>206</v>
      </c>
      <c r="D44" s="6">
        <v>500</v>
      </c>
      <c r="E44" s="6">
        <v>0</v>
      </c>
      <c r="F44" s="6" t="s">
        <v>196</v>
      </c>
      <c r="G44" s="6" t="s">
        <v>196</v>
      </c>
      <c r="H44" s="6"/>
    </row>
    <row r="45" spans="1:8" x14ac:dyDescent="0.2">
      <c r="A45" s="6" t="s">
        <v>241</v>
      </c>
      <c r="B45" s="6">
        <v>0</v>
      </c>
      <c r="C45" s="6" t="s">
        <v>195</v>
      </c>
      <c r="D45" s="6">
        <v>20</v>
      </c>
      <c r="E45" s="6">
        <v>20</v>
      </c>
      <c r="F45" s="6" t="s">
        <v>196</v>
      </c>
      <c r="G45" s="6" t="s">
        <v>196</v>
      </c>
      <c r="H45" s="6" t="s">
        <v>242</v>
      </c>
    </row>
    <row r="46" spans="1:8" x14ac:dyDescent="0.2">
      <c r="A46" s="6" t="s">
        <v>243</v>
      </c>
      <c r="B46" s="6">
        <v>0</v>
      </c>
      <c r="C46" s="6" t="s">
        <v>195</v>
      </c>
      <c r="D46" s="6">
        <v>25</v>
      </c>
      <c r="E46" s="6">
        <v>25</v>
      </c>
      <c r="F46" s="6" t="s">
        <v>196</v>
      </c>
      <c r="G46" s="6" t="s">
        <v>196</v>
      </c>
      <c r="H46" s="6" t="s">
        <v>242</v>
      </c>
    </row>
    <row r="47" spans="1:8" x14ac:dyDescent="0.2">
      <c r="A47" s="6" t="s">
        <v>244</v>
      </c>
      <c r="B47" s="6">
        <v>0</v>
      </c>
      <c r="C47" s="6" t="s">
        <v>195</v>
      </c>
      <c r="D47" s="6">
        <v>30</v>
      </c>
      <c r="E47" s="6">
        <v>30</v>
      </c>
      <c r="F47" s="6" t="s">
        <v>196</v>
      </c>
      <c r="G47" s="6" t="s">
        <v>196</v>
      </c>
      <c r="H47" s="6" t="s">
        <v>242</v>
      </c>
    </row>
    <row r="48" spans="1:8" x14ac:dyDescent="0.2">
      <c r="A48" s="6" t="s">
        <v>245</v>
      </c>
      <c r="B48" s="6">
        <v>0</v>
      </c>
      <c r="C48" s="6" t="s">
        <v>195</v>
      </c>
      <c r="D48" s="6">
        <v>30</v>
      </c>
      <c r="E48" s="6">
        <v>30</v>
      </c>
      <c r="F48" s="6" t="s">
        <v>196</v>
      </c>
      <c r="G48" s="6" t="s">
        <v>196</v>
      </c>
      <c r="H48" s="6" t="s">
        <v>242</v>
      </c>
    </row>
    <row r="51" spans="1:4" ht="16" x14ac:dyDescent="0.2">
      <c r="A51" s="4" t="s">
        <v>246</v>
      </c>
    </row>
    <row r="52" spans="1:4" ht="45" x14ac:dyDescent="0.2">
      <c r="A52" s="3" t="s">
        <v>247</v>
      </c>
    </row>
    <row r="53" spans="1:4" ht="30" x14ac:dyDescent="0.2">
      <c r="A53" s="3" t="s">
        <v>248</v>
      </c>
    </row>
    <row r="54" spans="1:4" ht="30" x14ac:dyDescent="0.2">
      <c r="A54" s="3" t="s">
        <v>249</v>
      </c>
    </row>
    <row r="55" spans="1:4" ht="60" x14ac:dyDescent="0.2">
      <c r="A55" s="3" t="s">
        <v>250</v>
      </c>
    </row>
    <row r="58" spans="1:4" ht="16" x14ac:dyDescent="0.2">
      <c r="A58" s="4" t="s">
        <v>251</v>
      </c>
    </row>
    <row r="59" spans="1:4" ht="30" x14ac:dyDescent="0.2">
      <c r="A59" s="2" t="s">
        <v>252</v>
      </c>
    </row>
    <row r="60" spans="1:4" ht="56" x14ac:dyDescent="0.2">
      <c r="A60" s="5" t="s">
        <v>177</v>
      </c>
      <c r="B60" s="5" t="s">
        <v>187</v>
      </c>
      <c r="C60" s="5" t="s">
        <v>253</v>
      </c>
      <c r="D60" s="5" t="s">
        <v>254</v>
      </c>
    </row>
    <row r="61" spans="1:4" x14ac:dyDescent="0.2">
      <c r="A61" s="6" t="s">
        <v>182</v>
      </c>
      <c r="B61" s="6">
        <v>1499</v>
      </c>
      <c r="C61" s="6">
        <v>1770</v>
      </c>
      <c r="D61" s="12">
        <v>0.20056497175141241</v>
      </c>
    </row>
    <row r="62" spans="1:4" x14ac:dyDescent="0.2">
      <c r="A62" s="6" t="s">
        <v>179</v>
      </c>
      <c r="B62" s="6">
        <v>799</v>
      </c>
      <c r="C62" s="6">
        <v>5376</v>
      </c>
      <c r="D62" s="12">
        <v>0.14992559523809521</v>
      </c>
    </row>
    <row r="63" spans="1:4" x14ac:dyDescent="0.2">
      <c r="A63" s="6" t="s">
        <v>31</v>
      </c>
      <c r="B63" s="6">
        <v>4299</v>
      </c>
      <c r="C63" s="6">
        <v>1480</v>
      </c>
      <c r="D63" s="9">
        <v>8.5135135135135098E-2</v>
      </c>
    </row>
    <row r="64" spans="1:4" x14ac:dyDescent="0.2">
      <c r="A64" s="6" t="s">
        <v>198</v>
      </c>
      <c r="B64" s="6">
        <v>2499</v>
      </c>
      <c r="C64" s="6">
        <v>1237</v>
      </c>
      <c r="D64" s="9">
        <v>8.2457558609539197E-2</v>
      </c>
    </row>
    <row r="65" spans="1:5" x14ac:dyDescent="0.2">
      <c r="A65" s="6" t="s">
        <v>183</v>
      </c>
      <c r="B65" s="6">
        <v>1999</v>
      </c>
      <c r="C65" s="6">
        <v>498</v>
      </c>
      <c r="D65" s="9">
        <v>2.0080321285140001E-3</v>
      </c>
    </row>
    <row r="66" spans="1:5" x14ac:dyDescent="0.2">
      <c r="A66" s="6" t="s">
        <v>197</v>
      </c>
      <c r="B66" s="6">
        <v>1499</v>
      </c>
      <c r="C66" s="6">
        <v>268</v>
      </c>
      <c r="D66" s="9">
        <v>0</v>
      </c>
    </row>
    <row r="67" spans="1:5" x14ac:dyDescent="0.2">
      <c r="A67" s="6" t="s">
        <v>240</v>
      </c>
      <c r="B67" s="6">
        <v>999</v>
      </c>
      <c r="C67" s="6">
        <v>61</v>
      </c>
      <c r="D67" s="9">
        <v>0</v>
      </c>
    </row>
    <row r="70" spans="1:5" ht="16" x14ac:dyDescent="0.2">
      <c r="A70" s="4" t="s">
        <v>255</v>
      </c>
    </row>
    <row r="71" spans="1:5" ht="30" x14ac:dyDescent="0.2">
      <c r="A71" s="2" t="s">
        <v>256</v>
      </c>
    </row>
    <row r="72" spans="1:5" ht="28" x14ac:dyDescent="0.2">
      <c r="A72" s="5" t="s">
        <v>257</v>
      </c>
      <c r="B72" s="5" t="s">
        <v>158</v>
      </c>
      <c r="C72" s="5" t="s">
        <v>258</v>
      </c>
      <c r="D72" s="5" t="s">
        <v>259</v>
      </c>
      <c r="E72" s="5" t="s">
        <v>161</v>
      </c>
    </row>
    <row r="73" spans="1:5" x14ac:dyDescent="0.2">
      <c r="A73" s="6" t="s">
        <v>260</v>
      </c>
      <c r="B73" s="6">
        <v>5909</v>
      </c>
      <c r="C73" s="6">
        <v>4812753</v>
      </c>
      <c r="D73" s="6">
        <v>3933829.8259999999</v>
      </c>
      <c r="E73" s="9">
        <v>0.81737621398812699</v>
      </c>
    </row>
    <row r="74" spans="1:5" x14ac:dyDescent="0.2">
      <c r="A74" s="6" t="s">
        <v>261</v>
      </c>
      <c r="B74" s="6">
        <v>13455</v>
      </c>
      <c r="C74" s="6">
        <v>14282317</v>
      </c>
      <c r="D74" s="6">
        <v>10975286.796</v>
      </c>
      <c r="E74" s="9">
        <v>0.76845282148547744</v>
      </c>
    </row>
    <row r="75" spans="1:5" x14ac:dyDescent="0.2">
      <c r="A75" s="6" t="s">
        <v>262</v>
      </c>
      <c r="B75" s="6">
        <v>8476</v>
      </c>
      <c r="C75" s="6">
        <v>12218470</v>
      </c>
      <c r="D75" s="6">
        <v>8669071.2919999994</v>
      </c>
      <c r="E75" s="9">
        <v>0.70950546934272452</v>
      </c>
    </row>
    <row r="76" spans="1:5" x14ac:dyDescent="0.2">
      <c r="A76" s="23" t="s">
        <v>263</v>
      </c>
      <c r="B76" s="23">
        <v>4488</v>
      </c>
      <c r="C76" s="23">
        <v>13128534</v>
      </c>
      <c r="D76" s="23">
        <v>8037817.5393333333</v>
      </c>
      <c r="E76" s="24">
        <v>0.61224029578118422</v>
      </c>
    </row>
    <row r="77" spans="1:5" x14ac:dyDescent="0.2">
      <c r="A77" s="6" t="s">
        <v>264</v>
      </c>
      <c r="B77" s="6">
        <v>52</v>
      </c>
      <c r="C77" s="6">
        <v>92377</v>
      </c>
      <c r="D77" s="6">
        <v>55958.648000000001</v>
      </c>
      <c r="E77" s="9">
        <v>0.60576385896922391</v>
      </c>
    </row>
    <row r="78" spans="1:5" x14ac:dyDescent="0.2">
      <c r="A78" s="6" t="s">
        <v>265</v>
      </c>
      <c r="B78" s="6">
        <v>481</v>
      </c>
      <c r="C78" s="6">
        <v>563431</v>
      </c>
      <c r="D78" s="6">
        <v>243315.47</v>
      </c>
      <c r="E78" s="9">
        <v>0.43184608230644039</v>
      </c>
    </row>
    <row r="81" spans="1:10" ht="16" x14ac:dyDescent="0.2">
      <c r="A81" s="4" t="s">
        <v>266</v>
      </c>
    </row>
    <row r="82" spans="1:10" ht="56" x14ac:dyDescent="0.2">
      <c r="A82" s="5" t="s">
        <v>186</v>
      </c>
      <c r="B82" s="5" t="s">
        <v>158</v>
      </c>
      <c r="C82" s="5" t="s">
        <v>267</v>
      </c>
      <c r="D82" s="5" t="s">
        <v>164</v>
      </c>
      <c r="E82" s="5" t="s">
        <v>268</v>
      </c>
      <c r="F82" s="5" t="s">
        <v>269</v>
      </c>
      <c r="G82" s="5" t="s">
        <v>270</v>
      </c>
      <c r="H82" s="5" t="s">
        <v>271</v>
      </c>
      <c r="I82" s="5" t="s">
        <v>272</v>
      </c>
      <c r="J82" s="5" t="s">
        <v>273</v>
      </c>
    </row>
    <row r="83" spans="1:10" x14ac:dyDescent="0.2">
      <c r="A83" s="6" t="s">
        <v>180</v>
      </c>
      <c r="B83" s="6">
        <v>7113</v>
      </c>
      <c r="C83" s="9">
        <v>0.69809773917297502</v>
      </c>
      <c r="D83" s="6">
        <v>20.140842351987569</v>
      </c>
      <c r="E83" s="6">
        <v>1.096161956980177</v>
      </c>
      <c r="F83" s="9">
        <v>0.37213552650077319</v>
      </c>
      <c r="G83" s="9">
        <v>0.37466610431604103</v>
      </c>
      <c r="H83" s="6"/>
      <c r="I83" s="6"/>
      <c r="J83" s="6" t="b">
        <v>0</v>
      </c>
    </row>
    <row r="84" spans="1:10" x14ac:dyDescent="0.2">
      <c r="A84" s="6" t="s">
        <v>179</v>
      </c>
      <c r="B84" s="6">
        <v>5376</v>
      </c>
      <c r="C84" s="9">
        <v>0.76051904466198494</v>
      </c>
      <c r="D84" s="6">
        <v>15.071757321302711</v>
      </c>
      <c r="E84" s="6">
        <v>1.0543154761904761</v>
      </c>
      <c r="F84" s="9">
        <v>0.5016741071428571</v>
      </c>
      <c r="G84" s="9">
        <v>0.31863839285714279</v>
      </c>
      <c r="H84" s="6">
        <v>799</v>
      </c>
      <c r="I84" s="6">
        <v>15</v>
      </c>
      <c r="J84" s="6" t="b">
        <v>1</v>
      </c>
    </row>
    <row r="85" spans="1:10" x14ac:dyDescent="0.2">
      <c r="A85" s="6" t="s">
        <v>181</v>
      </c>
      <c r="B85" s="6">
        <v>4984</v>
      </c>
      <c r="C85" s="9">
        <v>0.61693737126194859</v>
      </c>
      <c r="D85" s="6">
        <v>22.068015444670941</v>
      </c>
      <c r="E85" s="6">
        <v>1.34430176565008</v>
      </c>
      <c r="F85" s="9">
        <v>0.3838282504012841</v>
      </c>
      <c r="G85" s="9">
        <v>0.29735152487961469</v>
      </c>
      <c r="H85" s="6"/>
      <c r="I85" s="6"/>
      <c r="J85" s="6" t="b">
        <v>0</v>
      </c>
    </row>
    <row r="86" spans="1:10" x14ac:dyDescent="0.2">
      <c r="A86" s="6" t="s">
        <v>182</v>
      </c>
      <c r="B86" s="6">
        <v>1770</v>
      </c>
      <c r="C86" s="9">
        <v>0.70624964822348768</v>
      </c>
      <c r="D86" s="6">
        <v>19.885659542203559</v>
      </c>
      <c r="E86" s="6">
        <v>1.1000000000000001</v>
      </c>
      <c r="F86" s="9">
        <v>0.38079096045197741</v>
      </c>
      <c r="G86" s="9">
        <v>0.33559322033898298</v>
      </c>
      <c r="H86" s="6">
        <v>1499</v>
      </c>
      <c r="I86" s="6">
        <v>20</v>
      </c>
      <c r="J86" s="6" t="b">
        <v>1</v>
      </c>
    </row>
    <row r="87" spans="1:10" x14ac:dyDescent="0.2">
      <c r="A87" s="6" t="s">
        <v>31</v>
      </c>
      <c r="B87" s="6">
        <v>1480</v>
      </c>
      <c r="C87" s="9">
        <v>0.63254296881408267</v>
      </c>
      <c r="D87" s="6">
        <v>24.95854643203776</v>
      </c>
      <c r="E87" s="6">
        <v>1.67972972972973</v>
      </c>
      <c r="F87" s="9">
        <v>0.39391891891891889</v>
      </c>
      <c r="G87" s="9">
        <v>0.34662162162162158</v>
      </c>
      <c r="H87" s="6">
        <v>4299</v>
      </c>
      <c r="I87" s="6">
        <v>25</v>
      </c>
      <c r="J87" s="6" t="b">
        <v>1</v>
      </c>
    </row>
    <row r="88" spans="1:10" x14ac:dyDescent="0.2">
      <c r="A88" s="6" t="s">
        <v>184</v>
      </c>
      <c r="B88" s="6">
        <v>1313</v>
      </c>
      <c r="C88" s="9">
        <v>0.69899546100565768</v>
      </c>
      <c r="D88" s="6">
        <v>20.248805576490799</v>
      </c>
      <c r="E88" s="6">
        <v>1.0594059405940599</v>
      </c>
      <c r="F88" s="9">
        <v>0.30921553693830922</v>
      </c>
      <c r="G88" s="9">
        <v>0.7166793602437167</v>
      </c>
      <c r="H88" s="6"/>
      <c r="I88" s="6"/>
      <c r="J88" s="6" t="b">
        <v>0</v>
      </c>
    </row>
    <row r="89" spans="1:10" x14ac:dyDescent="0.2">
      <c r="A89" s="6" t="s">
        <v>198</v>
      </c>
      <c r="B89" s="6">
        <v>1237</v>
      </c>
      <c r="C89" s="9">
        <v>0.67747289010365841</v>
      </c>
      <c r="D89" s="6">
        <v>21.935263380783571</v>
      </c>
      <c r="E89" s="6">
        <v>1.30234438156831</v>
      </c>
      <c r="F89" s="9">
        <v>0.37833468067906217</v>
      </c>
      <c r="G89" s="9">
        <v>0.26273241713823769</v>
      </c>
      <c r="H89" s="6">
        <v>2499</v>
      </c>
      <c r="I89" s="6">
        <v>22</v>
      </c>
      <c r="J89" s="6" t="b">
        <v>1</v>
      </c>
    </row>
    <row r="90" spans="1:10" x14ac:dyDescent="0.2">
      <c r="A90" s="6" t="s">
        <v>241</v>
      </c>
      <c r="B90" s="6">
        <v>1066</v>
      </c>
      <c r="C90" s="9">
        <v>0.6849957582995051</v>
      </c>
      <c r="D90" s="6">
        <v>20.219254713962549</v>
      </c>
      <c r="E90" s="6">
        <v>1.986866791744841</v>
      </c>
      <c r="F90" s="9">
        <v>0.30018761726078802</v>
      </c>
      <c r="G90" s="9">
        <v>0.87242026266416506</v>
      </c>
      <c r="H90" s="6">
        <v>0</v>
      </c>
      <c r="I90" s="6">
        <v>20</v>
      </c>
      <c r="J90" s="6" t="b">
        <v>1</v>
      </c>
    </row>
    <row r="91" spans="1:10" x14ac:dyDescent="0.2">
      <c r="A91" s="6" t="s">
        <v>274</v>
      </c>
      <c r="B91" s="6">
        <v>624</v>
      </c>
      <c r="C91" s="9">
        <v>0.57661649529065506</v>
      </c>
      <c r="D91" s="6">
        <v>25.041934168564609</v>
      </c>
      <c r="E91" s="6">
        <v>1.836538461538461</v>
      </c>
      <c r="F91" s="9">
        <v>0.49519230769230771</v>
      </c>
      <c r="G91" s="9">
        <v>6.4102564102563996E-3</v>
      </c>
      <c r="H91" s="6"/>
      <c r="I91" s="6"/>
      <c r="J91" s="6" t="b">
        <v>0</v>
      </c>
    </row>
    <row r="92" spans="1:10" x14ac:dyDescent="0.2">
      <c r="A92" s="6" t="s">
        <v>36</v>
      </c>
      <c r="B92" s="6">
        <v>573</v>
      </c>
      <c r="C92" s="12">
        <v>0.479046545417188</v>
      </c>
      <c r="D92" s="6">
        <v>48.984944767509177</v>
      </c>
      <c r="E92" s="6">
        <v>1.0139616055846421</v>
      </c>
      <c r="F92" s="9">
        <v>0.41884816753926701</v>
      </c>
      <c r="G92" s="9">
        <v>0.28621291448516578</v>
      </c>
      <c r="H92" s="6"/>
      <c r="I92" s="6"/>
      <c r="J92" s="6" t="b">
        <v>0</v>
      </c>
    </row>
    <row r="93" spans="1:10" x14ac:dyDescent="0.2">
      <c r="A93" s="6" t="s">
        <v>183</v>
      </c>
      <c r="B93" s="6">
        <v>498</v>
      </c>
      <c r="C93" s="9">
        <v>0.66323689260944374</v>
      </c>
      <c r="D93" s="6">
        <v>29.89536486314142</v>
      </c>
      <c r="E93" s="6">
        <v>1.0742971887550199</v>
      </c>
      <c r="F93" s="9">
        <v>0.95582329317269077</v>
      </c>
      <c r="G93" s="9">
        <v>1</v>
      </c>
      <c r="H93" s="6">
        <v>1999</v>
      </c>
      <c r="I93" s="6">
        <v>0</v>
      </c>
      <c r="J93" s="6" t="b">
        <v>1</v>
      </c>
    </row>
    <row r="94" spans="1:10" x14ac:dyDescent="0.2">
      <c r="A94" s="6" t="s">
        <v>202</v>
      </c>
      <c r="B94" s="6">
        <v>394</v>
      </c>
      <c r="C94" s="9">
        <v>0.73296122657239438</v>
      </c>
      <c r="D94" s="6">
        <v>15.25790615373421</v>
      </c>
      <c r="E94" s="6">
        <v>1.015228426395939</v>
      </c>
      <c r="F94" s="9">
        <v>0.43908629441624358</v>
      </c>
      <c r="G94" s="9">
        <v>0.98223350253807118</v>
      </c>
      <c r="H94" s="6">
        <v>0</v>
      </c>
      <c r="I94" s="6">
        <v>15</v>
      </c>
      <c r="J94" s="6" t="b">
        <v>1</v>
      </c>
    </row>
    <row r="95" spans="1:10" x14ac:dyDescent="0.2">
      <c r="A95" s="6" t="s">
        <v>275</v>
      </c>
      <c r="B95" s="6">
        <v>370</v>
      </c>
      <c r="C95" s="9">
        <v>0.66153970399802509</v>
      </c>
      <c r="D95" s="6">
        <v>27.000423396073838</v>
      </c>
      <c r="E95" s="6">
        <v>1.062162162162162</v>
      </c>
      <c r="F95" s="9">
        <v>0.16756756756756749</v>
      </c>
      <c r="G95" s="9">
        <v>1</v>
      </c>
      <c r="H95" s="6"/>
      <c r="I95" s="6"/>
      <c r="J95" s="6" t="b">
        <v>0</v>
      </c>
    </row>
    <row r="96" spans="1:10" x14ac:dyDescent="0.2">
      <c r="A96" s="6" t="s">
        <v>243</v>
      </c>
      <c r="B96" s="6">
        <v>363</v>
      </c>
      <c r="C96" s="9">
        <v>0.63497618368604747</v>
      </c>
      <c r="D96" s="6">
        <v>25.062450232736779</v>
      </c>
      <c r="E96" s="6">
        <v>2.988980716253443</v>
      </c>
      <c r="F96" s="9">
        <v>0.32231404958677679</v>
      </c>
      <c r="G96" s="9">
        <v>0.53719008264462809</v>
      </c>
      <c r="H96" s="6">
        <v>0</v>
      </c>
      <c r="I96" s="6">
        <v>25</v>
      </c>
      <c r="J96" s="6" t="b">
        <v>1</v>
      </c>
    </row>
    <row r="97" spans="1:10" x14ac:dyDescent="0.2">
      <c r="A97" s="6" t="s">
        <v>197</v>
      </c>
      <c r="B97" s="6">
        <v>268</v>
      </c>
      <c r="C97" s="9">
        <v>0.69560307808043131</v>
      </c>
      <c r="D97" s="6">
        <v>19.949696669600431</v>
      </c>
      <c r="E97" s="6">
        <v>1.0970149253731341</v>
      </c>
      <c r="F97" s="9">
        <v>0.2462686567164179</v>
      </c>
      <c r="G97" s="9">
        <v>0.64925373134328357</v>
      </c>
      <c r="H97" s="6">
        <v>1499</v>
      </c>
      <c r="I97" s="6">
        <v>20</v>
      </c>
      <c r="J97" s="6" t="b">
        <v>1</v>
      </c>
    </row>
    <row r="98" spans="1:10" x14ac:dyDescent="0.2">
      <c r="A98" s="6" t="s">
        <v>244</v>
      </c>
      <c r="B98" s="6">
        <v>217</v>
      </c>
      <c r="C98" s="9">
        <v>0.55382141918746775</v>
      </c>
      <c r="D98" s="6">
        <v>30.121672533177549</v>
      </c>
      <c r="E98" s="6">
        <v>4.1336405529953923</v>
      </c>
      <c r="F98" s="9">
        <v>0.3732718894009216</v>
      </c>
      <c r="G98" s="9">
        <v>0.42396313364055299</v>
      </c>
      <c r="H98" s="6">
        <v>0</v>
      </c>
      <c r="I98" s="6">
        <v>30</v>
      </c>
      <c r="J98" s="6" t="b">
        <v>1</v>
      </c>
    </row>
    <row r="99" spans="1:10" x14ac:dyDescent="0.2">
      <c r="A99" s="6" t="s">
        <v>224</v>
      </c>
      <c r="B99" s="6">
        <v>160</v>
      </c>
      <c r="C99" s="12">
        <v>0.4575234681792682</v>
      </c>
      <c r="D99" s="6">
        <v>39.866979551216531</v>
      </c>
      <c r="E99" s="6">
        <v>1.0687500000000001</v>
      </c>
      <c r="F99" s="9">
        <v>8.7499999999999994E-2</v>
      </c>
      <c r="G99" s="9">
        <v>0.99375000000000002</v>
      </c>
      <c r="H99" s="6">
        <v>0</v>
      </c>
      <c r="I99" s="6">
        <v>40</v>
      </c>
      <c r="J99" s="6" t="b">
        <v>1</v>
      </c>
    </row>
    <row r="100" spans="1:10" x14ac:dyDescent="0.2">
      <c r="A100" s="6" t="s">
        <v>240</v>
      </c>
      <c r="B100" s="6">
        <v>61</v>
      </c>
      <c r="C100" s="9">
        <v>0.79609504240501971</v>
      </c>
      <c r="D100" s="6">
        <v>12.640854903986501</v>
      </c>
      <c r="E100" s="6">
        <v>1.0163934426229511</v>
      </c>
      <c r="F100" s="9">
        <v>0.9508196721311476</v>
      </c>
      <c r="G100" s="9">
        <v>0.96721311475409844</v>
      </c>
      <c r="H100" s="6">
        <v>999</v>
      </c>
      <c r="I100" s="6">
        <v>0</v>
      </c>
      <c r="J100" s="6" t="b">
        <v>1</v>
      </c>
    </row>
    <row r="101" spans="1:10" x14ac:dyDescent="0.2">
      <c r="A101" s="6" t="s">
        <v>276</v>
      </c>
      <c r="B101" s="6">
        <v>50</v>
      </c>
      <c r="C101" s="9">
        <v>0.5982515561530144</v>
      </c>
      <c r="D101" s="6">
        <v>30.827146712937751</v>
      </c>
      <c r="E101" s="6">
        <v>1.08</v>
      </c>
      <c r="F101" s="9">
        <v>0.1</v>
      </c>
      <c r="G101" s="9">
        <v>1</v>
      </c>
      <c r="H101" s="6"/>
      <c r="I101" s="6"/>
      <c r="J101" s="6" t="b">
        <v>0</v>
      </c>
    </row>
    <row r="102" spans="1:10" x14ac:dyDescent="0.2">
      <c r="A102" s="6" t="s">
        <v>277</v>
      </c>
      <c r="B102" s="6">
        <v>49</v>
      </c>
      <c r="C102" s="9">
        <v>0.67719183302053121</v>
      </c>
      <c r="D102" s="6">
        <v>27.641844233514231</v>
      </c>
      <c r="E102" s="6">
        <v>1.061224489795918</v>
      </c>
      <c r="F102" s="9">
        <v>0.1224489795918367</v>
      </c>
      <c r="G102" s="9">
        <v>1</v>
      </c>
      <c r="H102" s="6"/>
      <c r="I102" s="6"/>
      <c r="J102" s="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1" width="18" customWidth="1"/>
    <col min="2" max="2" width="40.83203125" customWidth="1"/>
    <col min="3" max="6" width="18" customWidth="1"/>
    <col min="7" max="7" width="17.1640625" bestFit="1" customWidth="1"/>
    <col min="8" max="10" width="18" customWidth="1"/>
    <col min="11" max="11" width="47.5" bestFit="1" customWidth="1"/>
  </cols>
  <sheetData>
    <row r="1" spans="1:11" ht="28" x14ac:dyDescent="0.2">
      <c r="A1" s="5" t="s">
        <v>278</v>
      </c>
      <c r="B1" s="5" t="s">
        <v>279</v>
      </c>
      <c r="C1" s="5" t="s">
        <v>280</v>
      </c>
      <c r="D1" s="5" t="s">
        <v>281</v>
      </c>
      <c r="E1" s="5" t="s">
        <v>282</v>
      </c>
      <c r="F1" s="5" t="s">
        <v>163</v>
      </c>
      <c r="G1" s="5" t="s">
        <v>164</v>
      </c>
      <c r="H1" s="5" t="s">
        <v>267</v>
      </c>
      <c r="I1" s="5" t="s">
        <v>283</v>
      </c>
      <c r="J1" s="5" t="s">
        <v>284</v>
      </c>
      <c r="K1" s="5" t="s">
        <v>285</v>
      </c>
    </row>
    <row r="2" spans="1:11" x14ac:dyDescent="0.2">
      <c r="A2" s="6" t="s">
        <v>38</v>
      </c>
      <c r="B2" s="6" t="s">
        <v>39</v>
      </c>
      <c r="C2" s="9">
        <v>-0.14744232698094281</v>
      </c>
      <c r="D2" s="7">
        <v>142632.10165753891</v>
      </c>
      <c r="E2" s="6">
        <v>3744</v>
      </c>
      <c r="F2" s="9">
        <v>0.51896367521367526</v>
      </c>
      <c r="G2" s="21">
        <v>14.69395947888157</v>
      </c>
      <c r="H2" s="9">
        <v>0.7051261572603057</v>
      </c>
      <c r="I2" s="6" t="s">
        <v>179</v>
      </c>
      <c r="J2" s="6">
        <v>1051</v>
      </c>
      <c r="K2" s="13" t="s">
        <v>42</v>
      </c>
    </row>
    <row r="3" spans="1:11" x14ac:dyDescent="0.2">
      <c r="A3" s="6" t="s">
        <v>43</v>
      </c>
      <c r="B3" s="6" t="s">
        <v>44</v>
      </c>
      <c r="C3" s="9">
        <v>-0.14432019843413429</v>
      </c>
      <c r="D3" s="7">
        <v>134167.09452671549</v>
      </c>
      <c r="E3" s="6">
        <v>54</v>
      </c>
      <c r="F3" s="9">
        <v>7.4074074074074001E-2</v>
      </c>
      <c r="G3" s="21">
        <v>7.2989076464746763</v>
      </c>
      <c r="H3" s="9">
        <v>0.75052149771141252</v>
      </c>
      <c r="I3" s="6" t="s">
        <v>244</v>
      </c>
      <c r="J3" s="6">
        <v>2</v>
      </c>
      <c r="K3" s="6" t="s">
        <v>46</v>
      </c>
    </row>
    <row r="4" spans="1:11" x14ac:dyDescent="0.2">
      <c r="A4" s="6" t="s">
        <v>47</v>
      </c>
      <c r="B4" s="6" t="s">
        <v>48</v>
      </c>
      <c r="C4" s="9">
        <v>-0.15132105684547639</v>
      </c>
      <c r="D4" s="7">
        <v>108600.7019758963</v>
      </c>
      <c r="E4" s="6">
        <v>495</v>
      </c>
      <c r="F4" s="9">
        <v>0.64444444444444449</v>
      </c>
      <c r="G4" s="21">
        <v>17.92749336321052</v>
      </c>
      <c r="H4" s="9">
        <v>0.74340680809883508</v>
      </c>
      <c r="I4" s="6" t="s">
        <v>180</v>
      </c>
      <c r="J4" s="6">
        <v>184</v>
      </c>
      <c r="K4" s="14" t="s">
        <v>50</v>
      </c>
    </row>
    <row r="5" spans="1:11" x14ac:dyDescent="0.2">
      <c r="A5" s="6" t="s">
        <v>51</v>
      </c>
      <c r="B5" s="6" t="s">
        <v>52</v>
      </c>
      <c r="C5" s="9">
        <v>-0.14374321704449619</v>
      </c>
      <c r="D5" s="7">
        <v>99746.492143106167</v>
      </c>
      <c r="E5" s="6">
        <v>83</v>
      </c>
      <c r="F5" s="9">
        <v>0.36144578313253012</v>
      </c>
      <c r="G5" s="21">
        <v>17.262599926567692</v>
      </c>
      <c r="H5" s="9">
        <v>0.81968950294612031</v>
      </c>
      <c r="I5" s="6" t="s">
        <v>202</v>
      </c>
      <c r="J5" s="6">
        <v>8</v>
      </c>
      <c r="K5" s="6" t="s">
        <v>46</v>
      </c>
    </row>
    <row r="6" spans="1:11" x14ac:dyDescent="0.2">
      <c r="A6" s="6" t="s">
        <v>53</v>
      </c>
      <c r="B6" s="6" t="s">
        <v>54</v>
      </c>
      <c r="C6" s="9">
        <v>-0.152768512341561</v>
      </c>
      <c r="D6" s="7">
        <v>74017.725060683093</v>
      </c>
      <c r="E6" s="6">
        <v>284</v>
      </c>
      <c r="F6" s="9">
        <v>0.7359154929577465</v>
      </c>
      <c r="G6" s="21">
        <v>18.781767136647591</v>
      </c>
      <c r="H6" s="9">
        <v>0.70178277496145314</v>
      </c>
      <c r="I6" s="6" t="s">
        <v>180</v>
      </c>
      <c r="J6" s="6">
        <v>107</v>
      </c>
      <c r="K6" s="14" t="s">
        <v>50</v>
      </c>
    </row>
    <row r="7" spans="1:11" x14ac:dyDescent="0.2">
      <c r="A7" s="6" t="s">
        <v>56</v>
      </c>
      <c r="B7" s="6" t="s">
        <v>57</v>
      </c>
      <c r="C7" s="9">
        <v>-0.1462024015004704</v>
      </c>
      <c r="D7" s="7">
        <v>72213.304087019904</v>
      </c>
      <c r="E7" s="6">
        <v>89</v>
      </c>
      <c r="F7" s="9">
        <v>3.3707865168539297E-2</v>
      </c>
      <c r="G7" s="21">
        <v>8.4800589863775713</v>
      </c>
      <c r="H7" s="9">
        <v>0.88129064884911279</v>
      </c>
      <c r="I7" s="6" t="s">
        <v>286</v>
      </c>
      <c r="J7" s="6">
        <v>1</v>
      </c>
      <c r="K7" s="6" t="s">
        <v>46</v>
      </c>
    </row>
    <row r="8" spans="1:11" x14ac:dyDescent="0.2">
      <c r="A8" s="6" t="s">
        <v>59</v>
      </c>
      <c r="B8" s="6" t="s">
        <v>60</v>
      </c>
      <c r="C8" s="9">
        <v>-0.14220273444660919</v>
      </c>
      <c r="D8" s="7">
        <v>69441.566671449342</v>
      </c>
      <c r="E8" s="6">
        <v>811</v>
      </c>
      <c r="F8" s="9">
        <v>5.05548705302096E-2</v>
      </c>
      <c r="G8" s="21">
        <v>8.6956818119456809</v>
      </c>
      <c r="H8" s="9">
        <v>0.86952460435996093</v>
      </c>
      <c r="I8" s="6" t="s">
        <v>241</v>
      </c>
      <c r="J8" s="6">
        <v>7</v>
      </c>
      <c r="K8" s="6" t="s">
        <v>46</v>
      </c>
    </row>
    <row r="9" spans="1:11" x14ac:dyDescent="0.2">
      <c r="A9" s="6" t="s">
        <v>62</v>
      </c>
      <c r="B9" s="6" t="s">
        <v>63</v>
      </c>
      <c r="C9" s="9">
        <v>-0.14893617021276589</v>
      </c>
      <c r="D9" s="7">
        <v>55979.034506082193</v>
      </c>
      <c r="E9" s="6">
        <v>1195</v>
      </c>
      <c r="F9" s="9">
        <v>0.38661087866108779</v>
      </c>
      <c r="G9" s="21">
        <v>11.2269232545433</v>
      </c>
      <c r="H9" s="9">
        <v>0.79277904137483912</v>
      </c>
      <c r="I9" s="6" t="s">
        <v>179</v>
      </c>
      <c r="J9" s="6">
        <v>282</v>
      </c>
      <c r="K9" s="6" t="s">
        <v>46</v>
      </c>
    </row>
    <row r="10" spans="1:11" x14ac:dyDescent="0.2">
      <c r="A10" s="6" t="s">
        <v>65</v>
      </c>
      <c r="B10" s="6" t="s">
        <v>66</v>
      </c>
      <c r="C10" s="9">
        <v>-0.14929107589658039</v>
      </c>
      <c r="D10" s="7">
        <v>54109.760095105448</v>
      </c>
      <c r="E10" s="6">
        <v>1153</v>
      </c>
      <c r="F10" s="9">
        <v>0.56808326105810925</v>
      </c>
      <c r="G10" s="21">
        <v>14.212027678596099</v>
      </c>
      <c r="H10" s="9">
        <v>0.72784512761726383</v>
      </c>
      <c r="I10" s="6" t="s">
        <v>179</v>
      </c>
      <c r="J10" s="6">
        <v>305</v>
      </c>
      <c r="K10" s="13" t="s">
        <v>42</v>
      </c>
    </row>
    <row r="11" spans="1:11" x14ac:dyDescent="0.2">
      <c r="A11" s="6" t="s">
        <v>67</v>
      </c>
      <c r="B11" s="6" t="s">
        <v>68</v>
      </c>
      <c r="C11" s="9">
        <v>-0.14659712847386161</v>
      </c>
      <c r="D11" s="7">
        <v>40376.331844543398</v>
      </c>
      <c r="E11" s="6">
        <v>304</v>
      </c>
      <c r="F11" s="9">
        <v>0.38157894736842107</v>
      </c>
      <c r="G11" s="21">
        <v>15.14630291527571</v>
      </c>
      <c r="H11" s="9">
        <v>0.68473655107038467</v>
      </c>
      <c r="I11" s="6" t="s">
        <v>179</v>
      </c>
      <c r="J11" s="6">
        <v>72</v>
      </c>
      <c r="K11" s="6" t="s">
        <v>46</v>
      </c>
    </row>
    <row r="12" spans="1:11" x14ac:dyDescent="0.2">
      <c r="A12" s="6" t="s">
        <v>69</v>
      </c>
      <c r="B12" s="6" t="s">
        <v>70</v>
      </c>
      <c r="C12" s="9">
        <v>-0.1546162402669633</v>
      </c>
      <c r="D12" s="7">
        <v>39202.334174339252</v>
      </c>
      <c r="E12" s="6">
        <v>370</v>
      </c>
      <c r="F12" s="9">
        <v>0.48918918918918919</v>
      </c>
      <c r="G12" s="21">
        <v>13.06554490735722</v>
      </c>
      <c r="H12" s="9">
        <v>0.82728108260344613</v>
      </c>
      <c r="I12" s="6" t="s">
        <v>179</v>
      </c>
      <c r="J12" s="6">
        <v>110</v>
      </c>
      <c r="K12" s="6" t="s">
        <v>46</v>
      </c>
    </row>
    <row r="13" spans="1:11" x14ac:dyDescent="0.2">
      <c r="A13" s="6" t="s">
        <v>72</v>
      </c>
      <c r="B13" s="6" t="s">
        <v>73</v>
      </c>
      <c r="C13" s="9">
        <v>0.1111225493906593</v>
      </c>
      <c r="D13" s="7">
        <v>35654.536391910689</v>
      </c>
      <c r="E13" s="6">
        <v>715</v>
      </c>
      <c r="F13" s="9">
        <v>0.11468531468531459</v>
      </c>
      <c r="G13" s="21">
        <v>9.9028033954443035</v>
      </c>
      <c r="H13" s="9">
        <v>0.87397621513554169</v>
      </c>
      <c r="I13" s="6" t="s">
        <v>212</v>
      </c>
      <c r="J13" s="6">
        <v>22</v>
      </c>
      <c r="K13" s="6" t="s">
        <v>287</v>
      </c>
    </row>
    <row r="14" spans="1:11" x14ac:dyDescent="0.2">
      <c r="A14" s="6" t="s">
        <v>76</v>
      </c>
      <c r="B14" s="6" t="s">
        <v>77</v>
      </c>
      <c r="C14" s="9">
        <v>-0.15659380542703669</v>
      </c>
      <c r="D14" s="7">
        <v>34052.738747150353</v>
      </c>
      <c r="E14" s="6">
        <v>36</v>
      </c>
      <c r="F14" s="9">
        <v>0.27777777777777779</v>
      </c>
      <c r="G14" s="21">
        <v>10.86382335276409</v>
      </c>
      <c r="H14" s="9">
        <v>0.88244385393451041</v>
      </c>
      <c r="I14" s="6" t="s">
        <v>179</v>
      </c>
      <c r="J14" s="6">
        <v>4</v>
      </c>
      <c r="K14" s="6" t="s">
        <v>46</v>
      </c>
    </row>
    <row r="15" spans="1:11" x14ac:dyDescent="0.2">
      <c r="A15" s="6" t="s">
        <v>79</v>
      </c>
      <c r="B15" s="6" t="s">
        <v>80</v>
      </c>
      <c r="C15" s="9">
        <v>-0.14708442123585719</v>
      </c>
      <c r="D15" s="7">
        <v>28441.671846065721</v>
      </c>
      <c r="E15" s="6">
        <v>86</v>
      </c>
      <c r="F15" s="9">
        <v>0.51162790697674421</v>
      </c>
      <c r="G15" s="21">
        <v>14.27113409024625</v>
      </c>
      <c r="H15" s="9">
        <v>0.92793322388591082</v>
      </c>
      <c r="I15" s="6" t="s">
        <v>179</v>
      </c>
      <c r="J15" s="6">
        <v>19</v>
      </c>
      <c r="K15" s="13" t="s">
        <v>42</v>
      </c>
    </row>
    <row r="16" spans="1:11" x14ac:dyDescent="0.2">
      <c r="A16" s="6" t="s">
        <v>81</v>
      </c>
      <c r="B16" s="6" t="s">
        <v>82</v>
      </c>
      <c r="C16" s="9">
        <v>-0.155937052932761</v>
      </c>
      <c r="D16" s="7">
        <v>25846.270772214739</v>
      </c>
      <c r="E16" s="6">
        <v>471</v>
      </c>
      <c r="F16" s="9">
        <v>0.27388535031847128</v>
      </c>
      <c r="G16" s="21">
        <v>12.367902887882909</v>
      </c>
      <c r="H16" s="9">
        <v>0.83654754429726474</v>
      </c>
      <c r="I16" s="6" t="s">
        <v>179</v>
      </c>
      <c r="J16" s="6">
        <v>94</v>
      </c>
      <c r="K16" s="6" t="s">
        <v>46</v>
      </c>
    </row>
    <row r="17" spans="1:11" x14ac:dyDescent="0.2">
      <c r="A17" s="6" t="s">
        <v>84</v>
      </c>
      <c r="B17" s="6" t="s">
        <v>85</v>
      </c>
      <c r="C17" s="9">
        <v>9.2312629917263495E-2</v>
      </c>
      <c r="D17" s="7">
        <v>20959.218391788771</v>
      </c>
      <c r="E17" s="6">
        <v>435</v>
      </c>
      <c r="F17" s="9">
        <v>9.8850574712643594E-2</v>
      </c>
      <c r="G17" s="21">
        <v>10.2982999350338</v>
      </c>
      <c r="H17" s="9">
        <v>0.77762385486248631</v>
      </c>
      <c r="I17" s="6" t="s">
        <v>179</v>
      </c>
      <c r="J17" s="6">
        <v>22</v>
      </c>
      <c r="K17" s="6" t="s">
        <v>287</v>
      </c>
    </row>
    <row r="18" spans="1:11" x14ac:dyDescent="0.2">
      <c r="A18" s="6" t="s">
        <v>87</v>
      </c>
      <c r="B18" s="6" t="s">
        <v>88</v>
      </c>
      <c r="C18" s="9">
        <v>5.0328227571115901E-2</v>
      </c>
      <c r="D18" s="7">
        <v>18584.856668780791</v>
      </c>
      <c r="E18" s="6">
        <v>816</v>
      </c>
      <c r="F18" s="9">
        <v>0.89950980392156865</v>
      </c>
      <c r="G18" s="21">
        <v>21.397701961381522</v>
      </c>
      <c r="H18" s="9">
        <v>0.2521518869819947</v>
      </c>
      <c r="I18" s="6" t="s">
        <v>181</v>
      </c>
      <c r="J18" s="6">
        <v>521</v>
      </c>
      <c r="K18" s="13" t="s">
        <v>42</v>
      </c>
    </row>
    <row r="19" spans="1:11" x14ac:dyDescent="0.2">
      <c r="A19" s="6" t="s">
        <v>90</v>
      </c>
      <c r="B19" s="6" t="s">
        <v>91</v>
      </c>
      <c r="C19" s="9">
        <v>-0.1438739812447187</v>
      </c>
      <c r="D19" s="7">
        <v>15871.86361347747</v>
      </c>
      <c r="E19" s="6">
        <v>61</v>
      </c>
      <c r="F19" s="9">
        <v>0.34426229508196721</v>
      </c>
      <c r="G19" s="21">
        <v>12.653001182153019</v>
      </c>
      <c r="H19" s="9">
        <v>0.8815133153419219</v>
      </c>
      <c r="I19" s="6" t="s">
        <v>288</v>
      </c>
      <c r="J19" s="6">
        <v>6</v>
      </c>
      <c r="K19" s="6" t="s">
        <v>46</v>
      </c>
    </row>
    <row r="20" spans="1:11" x14ac:dyDescent="0.2">
      <c r="A20" s="6" t="s">
        <v>92</v>
      </c>
      <c r="B20" s="6" t="s">
        <v>93</v>
      </c>
      <c r="C20" s="9">
        <v>-0.15319476520400299</v>
      </c>
      <c r="D20" s="7">
        <v>15815.265874082001</v>
      </c>
      <c r="E20" s="6">
        <v>129</v>
      </c>
      <c r="F20" s="9">
        <v>0.80620155038759689</v>
      </c>
      <c r="G20" s="21">
        <v>18.359454048995261</v>
      </c>
      <c r="H20" s="9">
        <v>0.79415982420282827</v>
      </c>
      <c r="I20" s="6" t="s">
        <v>180</v>
      </c>
      <c r="J20" s="6">
        <v>55</v>
      </c>
      <c r="K20" s="14" t="s">
        <v>50</v>
      </c>
    </row>
    <row r="21" spans="1:11" x14ac:dyDescent="0.2">
      <c r="A21" s="6" t="s">
        <v>94</v>
      </c>
      <c r="B21" s="6" t="s">
        <v>95</v>
      </c>
      <c r="C21" s="9">
        <v>-0.15319476520400299</v>
      </c>
      <c r="D21" s="7">
        <v>14624.21348557169</v>
      </c>
      <c r="E21" s="6">
        <v>139</v>
      </c>
      <c r="F21" s="9">
        <v>0.66187050359712229</v>
      </c>
      <c r="G21" s="21">
        <v>16.947066472504861</v>
      </c>
      <c r="H21" s="9">
        <v>0.71154055752279943</v>
      </c>
      <c r="I21" s="6" t="s">
        <v>180</v>
      </c>
      <c r="J21" s="6">
        <v>42</v>
      </c>
      <c r="K21" s="14" t="s">
        <v>50</v>
      </c>
    </row>
    <row r="22" spans="1:11" x14ac:dyDescent="0.2">
      <c r="A22" s="6" t="s">
        <v>96</v>
      </c>
      <c r="B22" s="6" t="s">
        <v>97</v>
      </c>
      <c r="C22" s="9">
        <v>0.16449872532163401</v>
      </c>
      <c r="D22" s="7">
        <v>11675.25680489618</v>
      </c>
      <c r="E22" s="6">
        <v>215</v>
      </c>
      <c r="F22" s="9">
        <v>7.4418604651162706E-2</v>
      </c>
      <c r="G22" s="21">
        <v>11.418748252245329</v>
      </c>
      <c r="H22" s="9">
        <v>0.85024614125350795</v>
      </c>
      <c r="I22" s="6" t="s">
        <v>241</v>
      </c>
      <c r="J22" s="6">
        <v>3</v>
      </c>
      <c r="K22" s="6" t="s">
        <v>287</v>
      </c>
    </row>
    <row r="23" spans="1:11" x14ac:dyDescent="0.2">
      <c r="A23" s="6" t="s">
        <v>99</v>
      </c>
      <c r="B23" s="6" t="s">
        <v>100</v>
      </c>
      <c r="C23" s="9">
        <v>-0.14708724614374549</v>
      </c>
      <c r="D23" s="7">
        <v>10122.15156640382</v>
      </c>
      <c r="E23" s="6">
        <v>24</v>
      </c>
      <c r="F23" s="9">
        <v>0.54166666666666663</v>
      </c>
      <c r="G23" s="21">
        <v>12.069722514927991</v>
      </c>
      <c r="H23" s="9">
        <v>0.85485671752884262</v>
      </c>
      <c r="I23" s="6" t="s">
        <v>179</v>
      </c>
      <c r="J23" s="6">
        <v>12</v>
      </c>
      <c r="K23" s="13" t="s">
        <v>42</v>
      </c>
    </row>
    <row r="24" spans="1:11" x14ac:dyDescent="0.2">
      <c r="A24" s="6" t="s">
        <v>101</v>
      </c>
      <c r="B24" s="6" t="s">
        <v>102</v>
      </c>
      <c r="C24" s="9">
        <v>-0.15295508606978481</v>
      </c>
      <c r="D24" s="7">
        <v>7108.6648420718266</v>
      </c>
      <c r="E24" s="6">
        <v>8</v>
      </c>
      <c r="F24" s="9">
        <v>0</v>
      </c>
      <c r="G24" s="21">
        <v>8.1564070351758797</v>
      </c>
      <c r="H24" s="9">
        <v>0.97698281349458937</v>
      </c>
      <c r="I24" s="6"/>
      <c r="J24" s="6"/>
      <c r="K24" s="6" t="s">
        <v>46</v>
      </c>
    </row>
    <row r="25" spans="1:11" x14ac:dyDescent="0.2">
      <c r="A25" s="6" t="s">
        <v>103</v>
      </c>
      <c r="B25" s="6" t="s">
        <v>104</v>
      </c>
      <c r="C25" s="9">
        <v>-0.14595388286208319</v>
      </c>
      <c r="D25" s="7">
        <v>6136.2919964297689</v>
      </c>
      <c r="E25" s="6">
        <v>42</v>
      </c>
      <c r="F25" s="9">
        <v>4.7619047619047603E-2</v>
      </c>
      <c r="G25" s="21">
        <v>9.0093883048283114</v>
      </c>
      <c r="H25" s="9">
        <v>0.87637773035400457</v>
      </c>
      <c r="I25" s="6" t="s">
        <v>289</v>
      </c>
      <c r="J25" s="6">
        <v>1</v>
      </c>
      <c r="K25" s="6" t="s">
        <v>46</v>
      </c>
    </row>
    <row r="26" spans="1:11" x14ac:dyDescent="0.2">
      <c r="A26" s="6" t="s">
        <v>105</v>
      </c>
      <c r="B26" s="6" t="s">
        <v>106</v>
      </c>
      <c r="C26" s="9">
        <v>0.1079301865801203</v>
      </c>
      <c r="D26" s="7">
        <v>3293.4287384019121</v>
      </c>
      <c r="E26" s="6">
        <v>26</v>
      </c>
      <c r="F26" s="9">
        <v>7.69230769230769E-2</v>
      </c>
      <c r="G26" s="21">
        <v>6.6842906121191117</v>
      </c>
      <c r="H26" s="9">
        <v>0.89997672189511146</v>
      </c>
      <c r="I26" s="6" t="s">
        <v>179</v>
      </c>
      <c r="J26" s="6">
        <v>2</v>
      </c>
      <c r="K26" s="6" t="s">
        <v>287</v>
      </c>
    </row>
    <row r="27" spans="1:11" x14ac:dyDescent="0.2">
      <c r="A27" s="6" t="s">
        <v>108</v>
      </c>
      <c r="B27" s="6" t="s">
        <v>109</v>
      </c>
      <c r="C27" s="9">
        <v>-9.7702946124186701E-2</v>
      </c>
      <c r="D27" s="7">
        <v>2867.1462231089831</v>
      </c>
      <c r="E27" s="6">
        <v>46</v>
      </c>
      <c r="F27" s="9">
        <v>0.34782608695652167</v>
      </c>
      <c r="G27" s="21">
        <v>15.566608970456871</v>
      </c>
      <c r="H27" s="9">
        <v>0.86723926615343372</v>
      </c>
      <c r="I27" s="6" t="s">
        <v>202</v>
      </c>
      <c r="J27" s="6">
        <v>6</v>
      </c>
      <c r="K27" s="6" t="s">
        <v>46</v>
      </c>
    </row>
    <row r="28" spans="1:11" x14ac:dyDescent="0.2">
      <c r="A28" s="6" t="s">
        <v>111</v>
      </c>
      <c r="B28" s="6" t="s">
        <v>112</v>
      </c>
      <c r="C28" s="9">
        <v>-0.1463370239587288</v>
      </c>
      <c r="D28" s="7">
        <v>1988.393347780227</v>
      </c>
      <c r="E28" s="6">
        <v>26</v>
      </c>
      <c r="F28" s="9">
        <v>0.46153846153846151</v>
      </c>
      <c r="G28" s="21">
        <v>13.988328510542679</v>
      </c>
      <c r="H28" s="9">
        <v>0.85004504504504497</v>
      </c>
      <c r="I28" s="6" t="s">
        <v>202</v>
      </c>
      <c r="J28" s="6">
        <v>9</v>
      </c>
      <c r="K28" s="6" t="s">
        <v>46</v>
      </c>
    </row>
    <row r="29" spans="1:11" x14ac:dyDescent="0.2">
      <c r="A29" s="6" t="s">
        <v>113</v>
      </c>
      <c r="B29" s="6" t="s">
        <v>114</v>
      </c>
      <c r="C29" s="9">
        <v>5.30896431679721E-2</v>
      </c>
      <c r="D29" s="7">
        <v>1841.792977217061</v>
      </c>
      <c r="E29" s="6">
        <v>23</v>
      </c>
      <c r="F29" s="9">
        <v>0.34782608695652167</v>
      </c>
      <c r="G29" s="21">
        <v>10.86536174760373</v>
      </c>
      <c r="H29" s="9">
        <v>0.94576575951124675</v>
      </c>
      <c r="I29" s="6" t="s">
        <v>179</v>
      </c>
      <c r="J29" s="6">
        <v>4</v>
      </c>
      <c r="K29" s="6" t="s">
        <v>46</v>
      </c>
    </row>
    <row r="30" spans="1:11" x14ac:dyDescent="0.2">
      <c r="A30" s="6" t="s">
        <v>116</v>
      </c>
      <c r="B30" s="6" t="s">
        <v>117</v>
      </c>
      <c r="C30" s="9">
        <v>0.13238118098895829</v>
      </c>
      <c r="D30" s="7">
        <v>1697.8990789456041</v>
      </c>
      <c r="E30" s="6">
        <v>57</v>
      </c>
      <c r="F30" s="9">
        <v>1.7543859649122799E-2</v>
      </c>
      <c r="G30" s="21">
        <v>7.9309967378927606</v>
      </c>
      <c r="H30" s="9">
        <v>0.80272804854921298</v>
      </c>
      <c r="I30" s="6" t="s">
        <v>180</v>
      </c>
      <c r="J30" s="6">
        <v>1</v>
      </c>
      <c r="K30" s="6" t="s">
        <v>287</v>
      </c>
    </row>
    <row r="31" spans="1:11" x14ac:dyDescent="0.2">
      <c r="A31" s="6" t="s">
        <v>119</v>
      </c>
      <c r="B31" s="6" t="s">
        <v>120</v>
      </c>
      <c r="C31" s="9">
        <v>-9.3419983753046304E-2</v>
      </c>
      <c r="D31" s="7">
        <v>930.61652601573223</v>
      </c>
      <c r="E31" s="6">
        <v>43</v>
      </c>
      <c r="F31" s="9">
        <v>0.32558139534883718</v>
      </c>
      <c r="G31" s="21">
        <v>11.654578365336571</v>
      </c>
      <c r="H31" s="9">
        <v>0.73129288490789268</v>
      </c>
      <c r="I31" s="6" t="s">
        <v>179</v>
      </c>
      <c r="J31" s="6">
        <v>8</v>
      </c>
      <c r="K31" s="6" t="s">
        <v>46</v>
      </c>
    </row>
    <row r="32" spans="1:11" x14ac:dyDescent="0.2">
      <c r="A32" s="6" t="s">
        <v>122</v>
      </c>
      <c r="B32" s="6" t="s">
        <v>123</v>
      </c>
      <c r="C32" s="9">
        <v>4.6770601336302897E-2</v>
      </c>
      <c r="D32" s="7">
        <v>857.40557449655898</v>
      </c>
      <c r="E32" s="6">
        <v>51</v>
      </c>
      <c r="F32" s="9">
        <v>1.9607843137254902E-2</v>
      </c>
      <c r="G32" s="21">
        <v>9.0374461475241965</v>
      </c>
      <c r="H32" s="9">
        <v>0.89864700939576825</v>
      </c>
      <c r="I32" s="6" t="s">
        <v>179</v>
      </c>
      <c r="J32" s="6">
        <v>1</v>
      </c>
      <c r="K32" s="6" t="s">
        <v>287</v>
      </c>
    </row>
    <row r="33" spans="1:11" x14ac:dyDescent="0.2">
      <c r="A33" s="6" t="s">
        <v>125</v>
      </c>
      <c r="B33" s="6" t="s">
        <v>126</v>
      </c>
      <c r="C33" s="9">
        <v>8.2925719485837796E-2</v>
      </c>
      <c r="D33" s="7">
        <v>760.25522151327641</v>
      </c>
      <c r="E33" s="6">
        <v>46</v>
      </c>
      <c r="F33" s="9">
        <v>4.3478260869565202E-2</v>
      </c>
      <c r="G33" s="21">
        <v>12.39405039675761</v>
      </c>
      <c r="H33" s="9">
        <v>0.97336905965621845</v>
      </c>
      <c r="I33" s="6" t="s">
        <v>290</v>
      </c>
      <c r="J33" s="6">
        <v>1</v>
      </c>
      <c r="K33" s="6" t="s">
        <v>287</v>
      </c>
    </row>
    <row r="34" spans="1:11" x14ac:dyDescent="0.2">
      <c r="A34" s="6" t="s">
        <v>128</v>
      </c>
      <c r="B34" s="6" t="s">
        <v>129</v>
      </c>
      <c r="C34" s="9">
        <v>-9.5251330006370205E-2</v>
      </c>
      <c r="D34" s="7">
        <v>705.51642756148067</v>
      </c>
      <c r="E34" s="6">
        <v>11</v>
      </c>
      <c r="F34" s="9">
        <v>0.1818181818181818</v>
      </c>
      <c r="G34" s="21">
        <v>14.558211889717009</v>
      </c>
      <c r="H34" s="9">
        <v>0.93320874065554904</v>
      </c>
      <c r="I34" s="6" t="s">
        <v>291</v>
      </c>
      <c r="J34" s="6">
        <v>1</v>
      </c>
      <c r="K34" s="6" t="s">
        <v>46</v>
      </c>
    </row>
    <row r="35" spans="1:11" x14ac:dyDescent="0.2">
      <c r="A35" s="6" t="s">
        <v>131</v>
      </c>
      <c r="B35" s="6" t="s">
        <v>132</v>
      </c>
      <c r="C35" s="9">
        <v>1.33375598734248E-2</v>
      </c>
      <c r="D35" s="7">
        <v>648.81917267056997</v>
      </c>
      <c r="E35" s="6">
        <v>199</v>
      </c>
      <c r="F35" s="9">
        <v>0.21105527638190949</v>
      </c>
      <c r="G35" s="21">
        <v>27.139428993068979</v>
      </c>
      <c r="H35" s="9">
        <v>0.97265764230413398</v>
      </c>
      <c r="I35" s="6" t="s">
        <v>292</v>
      </c>
      <c r="J35" s="6">
        <v>1</v>
      </c>
      <c r="K35" s="6" t="s">
        <v>46</v>
      </c>
    </row>
    <row r="36" spans="1:11" x14ac:dyDescent="0.2">
      <c r="A36" s="6" t="s">
        <v>134</v>
      </c>
      <c r="B36" s="6" t="s">
        <v>135</v>
      </c>
      <c r="C36" s="9">
        <v>-8.9728687444359204E-2</v>
      </c>
      <c r="D36" s="7">
        <v>647.26735109124274</v>
      </c>
      <c r="E36" s="6">
        <v>3</v>
      </c>
      <c r="F36" s="9">
        <v>0</v>
      </c>
      <c r="G36" s="21">
        <v>5.0125313283208017</v>
      </c>
      <c r="H36" s="9">
        <v>0.97270096463022504</v>
      </c>
      <c r="I36" s="6"/>
      <c r="J36" s="6"/>
      <c r="K36" s="6" t="s">
        <v>46</v>
      </c>
    </row>
    <row r="37" spans="1:11" x14ac:dyDescent="0.2">
      <c r="A37" s="6" t="s">
        <v>137</v>
      </c>
      <c r="B37" s="6" t="s">
        <v>138</v>
      </c>
      <c r="C37" s="9">
        <v>4.8184517013016598E-2</v>
      </c>
      <c r="D37" s="7">
        <v>619.68393767539965</v>
      </c>
      <c r="E37" s="6">
        <v>59</v>
      </c>
      <c r="F37" s="9">
        <v>3.38983050847457E-2</v>
      </c>
      <c r="G37" s="21">
        <v>11.585057768383679</v>
      </c>
      <c r="H37" s="9">
        <v>0.91135975950782999</v>
      </c>
      <c r="I37" s="6" t="s">
        <v>243</v>
      </c>
      <c r="J37" s="6">
        <v>1</v>
      </c>
      <c r="K37" s="6" t="s">
        <v>287</v>
      </c>
    </row>
    <row r="38" spans="1:11" x14ac:dyDescent="0.2">
      <c r="A38" s="6" t="s">
        <v>140</v>
      </c>
      <c r="B38" s="6" t="s">
        <v>141</v>
      </c>
      <c r="C38" s="9">
        <v>0.04</v>
      </c>
      <c r="D38" s="7">
        <v>338.49246188371762</v>
      </c>
      <c r="E38" s="6"/>
      <c r="F38" s="9"/>
      <c r="G38" s="21"/>
      <c r="H38" s="9"/>
      <c r="I38" s="6"/>
      <c r="J38" s="6"/>
      <c r="K38" s="6" t="s">
        <v>293</v>
      </c>
    </row>
    <row r="39" spans="1:11" x14ac:dyDescent="0.2">
      <c r="A39" s="6" t="s">
        <v>144</v>
      </c>
      <c r="B39" s="6" t="s">
        <v>145</v>
      </c>
      <c r="C39" s="9">
        <v>2.98210735586481E-2</v>
      </c>
      <c r="D39" s="7">
        <v>213.32365505170679</v>
      </c>
      <c r="E39" s="6">
        <v>14</v>
      </c>
      <c r="F39" s="9">
        <v>0.2857142857142857</v>
      </c>
      <c r="G39" s="21">
        <v>15.41113551776256</v>
      </c>
      <c r="H39" s="9">
        <v>0.79864634608103002</v>
      </c>
      <c r="I39" s="6" t="s">
        <v>294</v>
      </c>
      <c r="J39" s="6">
        <v>1</v>
      </c>
      <c r="K39" s="6" t="s">
        <v>46</v>
      </c>
    </row>
    <row r="40" spans="1:11" x14ac:dyDescent="0.2">
      <c r="A40" s="6" t="s">
        <v>147</v>
      </c>
      <c r="B40" s="6" t="s">
        <v>148</v>
      </c>
      <c r="C40" s="9">
        <v>-0.1117478510028653</v>
      </c>
      <c r="D40" s="7">
        <v>163.74058568058169</v>
      </c>
      <c r="E40" s="6">
        <v>49</v>
      </c>
      <c r="F40" s="9">
        <v>0</v>
      </c>
      <c r="G40" s="21">
        <v>8.1642344841872028</v>
      </c>
      <c r="H40" s="9">
        <v>0.96375185499257998</v>
      </c>
      <c r="I40" s="6"/>
      <c r="J40" s="6"/>
      <c r="K40" s="6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topLeftCell="A15" workbookViewId="0">
      <selection activeCell="B24" sqref="B24"/>
    </sheetView>
  </sheetViews>
  <sheetFormatPr baseColWidth="10" defaultColWidth="8.83203125" defaultRowHeight="15" x14ac:dyDescent="0.2"/>
  <cols>
    <col min="1" max="1" width="114.33203125" customWidth="1"/>
    <col min="2" max="2" width="34" customWidth="1"/>
    <col min="3" max="3" width="20" customWidth="1"/>
    <col min="4" max="4" width="22" customWidth="1"/>
    <col min="5" max="5" width="12" customWidth="1"/>
    <col min="6" max="7" width="26" customWidth="1"/>
  </cols>
  <sheetData>
    <row r="1" spans="1:7" ht="36" x14ac:dyDescent="0.2">
      <c r="A1" s="15" t="s">
        <v>295</v>
      </c>
    </row>
    <row r="2" spans="1:7" ht="70" x14ac:dyDescent="0.2">
      <c r="A2" s="16" t="s">
        <v>296</v>
      </c>
    </row>
    <row r="3" spans="1:7" ht="30" x14ac:dyDescent="0.2">
      <c r="A3" s="2" t="s">
        <v>297</v>
      </c>
    </row>
    <row r="5" spans="1:7" ht="17" x14ac:dyDescent="0.2">
      <c r="A5" s="17" t="s">
        <v>298</v>
      </c>
    </row>
    <row r="6" spans="1:7" ht="45" x14ac:dyDescent="0.2">
      <c r="A6" s="3" t="s">
        <v>299</v>
      </c>
    </row>
    <row r="7" spans="1:7" ht="45" x14ac:dyDescent="0.2">
      <c r="A7" s="3" t="s">
        <v>300</v>
      </c>
    </row>
    <row r="8" spans="1:7" ht="45" x14ac:dyDescent="0.2">
      <c r="A8" s="3" t="s">
        <v>301</v>
      </c>
    </row>
    <row r="10" spans="1:7" ht="17" x14ac:dyDescent="0.2">
      <c r="A10" s="17" t="s">
        <v>302</v>
      </c>
    </row>
    <row r="11" spans="1:7" ht="60" x14ac:dyDescent="0.2">
      <c r="A11" s="3" t="s">
        <v>303</v>
      </c>
    </row>
    <row r="12" spans="1:7" ht="60" x14ac:dyDescent="0.2">
      <c r="A12" s="3" t="s">
        <v>304</v>
      </c>
    </row>
    <row r="13" spans="1:7" ht="60" x14ac:dyDescent="0.2">
      <c r="A13" s="3" t="s">
        <v>305</v>
      </c>
    </row>
    <row r="15" spans="1:7" ht="153" x14ac:dyDescent="0.2">
      <c r="A15" s="17" t="s">
        <v>306</v>
      </c>
    </row>
    <row r="16" spans="1:7" x14ac:dyDescent="0.2">
      <c r="A16" s="18" t="s">
        <v>307</v>
      </c>
      <c r="B16" s="18" t="s">
        <v>308</v>
      </c>
      <c r="C16" s="18"/>
      <c r="D16" s="18" t="s">
        <v>309</v>
      </c>
      <c r="E16" s="18" t="s">
        <v>310</v>
      </c>
      <c r="F16" s="18" t="s">
        <v>311</v>
      </c>
      <c r="G16" s="18" t="s">
        <v>312</v>
      </c>
    </row>
    <row r="17" spans="1:7" ht="42" x14ac:dyDescent="0.2">
      <c r="A17" s="19">
        <v>1</v>
      </c>
      <c r="B17" s="19" t="s">
        <v>313</v>
      </c>
      <c r="C17" s="19"/>
      <c r="D17" s="19" t="s">
        <v>314</v>
      </c>
      <c r="E17" s="19" t="s">
        <v>315</v>
      </c>
      <c r="F17" s="19" t="s">
        <v>316</v>
      </c>
      <c r="G17" s="19" t="s">
        <v>317</v>
      </c>
    </row>
    <row r="18" spans="1:7" ht="42" x14ac:dyDescent="0.2">
      <c r="A18" s="19">
        <v>2</v>
      </c>
      <c r="B18" s="19" t="s">
        <v>318</v>
      </c>
      <c r="C18" s="19"/>
      <c r="D18" s="19" t="s">
        <v>319</v>
      </c>
      <c r="E18" s="19" t="s">
        <v>320</v>
      </c>
      <c r="F18" s="19" t="s">
        <v>321</v>
      </c>
      <c r="G18" s="19" t="s">
        <v>322</v>
      </c>
    </row>
    <row r="19" spans="1:7" ht="42" x14ac:dyDescent="0.2">
      <c r="A19" s="19">
        <v>3</v>
      </c>
      <c r="B19" s="19" t="s">
        <v>323</v>
      </c>
      <c r="C19" s="19"/>
      <c r="D19" s="19" t="s">
        <v>324</v>
      </c>
      <c r="E19" s="19" t="s">
        <v>325</v>
      </c>
      <c r="F19" s="19" t="s">
        <v>326</v>
      </c>
      <c r="G19" s="19" t="s">
        <v>327</v>
      </c>
    </row>
    <row r="20" spans="1:7" ht="42" x14ac:dyDescent="0.2">
      <c r="A20" s="19">
        <v>4</v>
      </c>
      <c r="B20" s="19" t="s">
        <v>328</v>
      </c>
      <c r="C20" s="19"/>
      <c r="D20" s="19" t="s">
        <v>329</v>
      </c>
      <c r="E20" s="19" t="s">
        <v>330</v>
      </c>
      <c r="F20" s="19" t="s">
        <v>331</v>
      </c>
      <c r="G20" s="19" t="s">
        <v>332</v>
      </c>
    </row>
    <row r="21" spans="1:7" ht="28" x14ac:dyDescent="0.2">
      <c r="A21" s="19">
        <v>5</v>
      </c>
      <c r="B21" s="19" t="s">
        <v>333</v>
      </c>
      <c r="C21" s="19"/>
      <c r="D21" s="19" t="s">
        <v>334</v>
      </c>
      <c r="E21" s="19" t="s">
        <v>335</v>
      </c>
      <c r="F21" s="19" t="s">
        <v>336</v>
      </c>
      <c r="G21" s="19" t="s">
        <v>337</v>
      </c>
    </row>
    <row r="22" spans="1:7" ht="56" x14ac:dyDescent="0.2">
      <c r="A22" s="19">
        <v>6</v>
      </c>
      <c r="B22" s="19" t="s">
        <v>338</v>
      </c>
      <c r="C22" s="19"/>
      <c r="D22" s="19" t="s">
        <v>339</v>
      </c>
      <c r="E22" s="19" t="s">
        <v>340</v>
      </c>
      <c r="F22" s="19" t="s">
        <v>341</v>
      </c>
      <c r="G22" s="19" t="s">
        <v>342</v>
      </c>
    </row>
    <row r="24" spans="1:7" ht="85" x14ac:dyDescent="0.2">
      <c r="A24" s="17" t="s">
        <v>343</v>
      </c>
    </row>
    <row r="25" spans="1:7" ht="409.6" x14ac:dyDescent="0.2">
      <c r="A25" s="3" t="s">
        <v>344</v>
      </c>
    </row>
    <row r="27" spans="1:7" ht="306" x14ac:dyDescent="0.2">
      <c r="A27" s="17" t="s">
        <v>345</v>
      </c>
    </row>
    <row r="28" spans="1:7" ht="409.6" x14ac:dyDescent="0.2">
      <c r="A28" s="3" t="s">
        <v>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3"/>
  <sheetViews>
    <sheetView topLeftCell="E1" workbookViewId="0">
      <selection activeCell="R1" sqref="R1"/>
    </sheetView>
  </sheetViews>
  <sheetFormatPr baseColWidth="10" defaultColWidth="8.83203125" defaultRowHeight="15" x14ac:dyDescent="0.2"/>
  <cols>
    <col min="1" max="3" width="16" customWidth="1"/>
    <col min="4" max="4" width="16" style="22" customWidth="1"/>
    <col min="5" max="19" width="16" customWidth="1"/>
  </cols>
  <sheetData>
    <row r="1" spans="1:19" x14ac:dyDescent="0.2">
      <c r="A1" s="6" t="s">
        <v>278</v>
      </c>
      <c r="B1" s="6" t="s">
        <v>279</v>
      </c>
      <c r="C1" s="6" t="s">
        <v>188</v>
      </c>
      <c r="D1" s="6" t="s">
        <v>347</v>
      </c>
      <c r="E1" s="6" t="s">
        <v>348</v>
      </c>
      <c r="F1" s="6" t="s">
        <v>349</v>
      </c>
      <c r="G1" s="6" t="s">
        <v>280</v>
      </c>
      <c r="H1" s="6" t="s">
        <v>350</v>
      </c>
      <c r="I1" s="6" t="s">
        <v>351</v>
      </c>
      <c r="J1" s="6" t="s">
        <v>352</v>
      </c>
      <c r="K1" s="6" t="s">
        <v>353</v>
      </c>
      <c r="L1" s="6" t="s">
        <v>354</v>
      </c>
      <c r="M1" s="6" t="s">
        <v>355</v>
      </c>
      <c r="N1" s="6" t="s">
        <v>356</v>
      </c>
      <c r="O1" s="6" t="s">
        <v>357</v>
      </c>
      <c r="P1" s="6" t="s">
        <v>358</v>
      </c>
      <c r="Q1" s="6" t="s">
        <v>359</v>
      </c>
      <c r="R1" s="6" t="s">
        <v>360</v>
      </c>
      <c r="S1" s="6" t="s">
        <v>361</v>
      </c>
    </row>
    <row r="2" spans="1:19" x14ac:dyDescent="0.2">
      <c r="A2" s="6" t="s">
        <v>38</v>
      </c>
      <c r="B2" s="6" t="s">
        <v>39</v>
      </c>
      <c r="C2" s="6" t="s">
        <v>362</v>
      </c>
      <c r="D2" s="21">
        <v>997</v>
      </c>
      <c r="E2" s="6">
        <v>2574.8267898383369</v>
      </c>
      <c r="F2" s="6">
        <v>850</v>
      </c>
      <c r="G2" s="6">
        <v>-0.14744232698094281</v>
      </c>
      <c r="H2" s="6">
        <v>-2.6197664336783242</v>
      </c>
      <c r="I2" s="6">
        <v>-1.4858864167893651</v>
      </c>
      <c r="J2" s="6" t="s">
        <v>363</v>
      </c>
      <c r="K2" s="6" t="s">
        <v>364</v>
      </c>
      <c r="L2" s="6"/>
      <c r="M2" s="6">
        <v>3569.3908671637791</v>
      </c>
      <c r="N2" s="6">
        <v>326.02004572175048</v>
      </c>
      <c r="O2" s="6" t="s">
        <v>365</v>
      </c>
      <c r="P2" s="6">
        <v>1727657.161720139</v>
      </c>
      <c r="Q2" s="6">
        <v>1870289.2633776781</v>
      </c>
      <c r="R2" s="6">
        <v>142632.10165753891</v>
      </c>
      <c r="S2" s="6" t="s">
        <v>366</v>
      </c>
    </row>
    <row r="3" spans="1:19" x14ac:dyDescent="0.2">
      <c r="A3" s="6" t="s">
        <v>43</v>
      </c>
      <c r="B3" s="6" t="s">
        <v>44</v>
      </c>
      <c r="C3" s="6" t="s">
        <v>367</v>
      </c>
      <c r="D3" s="21">
        <v>409.03150846790072</v>
      </c>
      <c r="E3" s="6">
        <v>586.37413394919167</v>
      </c>
      <c r="F3" s="6">
        <v>350</v>
      </c>
      <c r="G3" s="6">
        <v>-0.14432019843413429</v>
      </c>
      <c r="H3" s="6">
        <v>-8.1042285027873433</v>
      </c>
      <c r="I3" s="6">
        <v>-1.3405089186681951</v>
      </c>
      <c r="J3" s="6" t="s">
        <v>368</v>
      </c>
      <c r="K3" s="6" t="s">
        <v>369</v>
      </c>
      <c r="L3" s="6">
        <v>2</v>
      </c>
      <c r="M3" s="6">
        <v>1272.1995877496599</v>
      </c>
      <c r="N3" s="6">
        <v>103.9</v>
      </c>
      <c r="O3" s="6" t="s">
        <v>365</v>
      </c>
      <c r="P3" s="6">
        <v>178921.22401847571</v>
      </c>
      <c r="Q3" s="6">
        <v>313088.31854519132</v>
      </c>
      <c r="R3" s="6">
        <v>134167.09452671549</v>
      </c>
      <c r="S3" s="6" t="s">
        <v>366</v>
      </c>
    </row>
    <row r="4" spans="1:19" x14ac:dyDescent="0.2">
      <c r="A4" s="6" t="s">
        <v>47</v>
      </c>
      <c r="B4" s="6" t="s">
        <v>48</v>
      </c>
      <c r="C4" s="6" t="s">
        <v>362</v>
      </c>
      <c r="D4" s="21">
        <v>1249</v>
      </c>
      <c r="E4" s="6">
        <v>501.61662817551962</v>
      </c>
      <c r="F4" s="6">
        <v>1060</v>
      </c>
      <c r="G4" s="6">
        <v>-0.15132105684547639</v>
      </c>
      <c r="H4" s="6">
        <v>-3.643622761666514</v>
      </c>
      <c r="I4" s="6">
        <v>-1.3510576906213909</v>
      </c>
      <c r="J4" s="6" t="s">
        <v>363</v>
      </c>
      <c r="K4" s="6" t="s">
        <v>364</v>
      </c>
      <c r="L4" s="6"/>
      <c r="M4" s="6">
        <v>778.18639071001792</v>
      </c>
      <c r="N4" s="6">
        <v>324.53910638297867</v>
      </c>
      <c r="O4" s="6" t="s">
        <v>365</v>
      </c>
      <c r="P4" s="6">
        <v>463724.95633629803</v>
      </c>
      <c r="Q4" s="6">
        <v>572325.65831219428</v>
      </c>
      <c r="R4" s="6">
        <v>108600.7019758963</v>
      </c>
      <c r="S4" s="6" t="s">
        <v>366</v>
      </c>
    </row>
    <row r="5" spans="1:19" x14ac:dyDescent="0.2">
      <c r="A5" s="6" t="s">
        <v>51</v>
      </c>
      <c r="B5" s="6" t="s">
        <v>52</v>
      </c>
      <c r="C5" s="6" t="s">
        <v>367</v>
      </c>
      <c r="D5" s="21">
        <v>537.22202166064983</v>
      </c>
      <c r="E5" s="6">
        <v>255.8891454965358</v>
      </c>
      <c r="F5" s="6">
        <v>460</v>
      </c>
      <c r="G5" s="6">
        <v>-0.14374321704449619</v>
      </c>
      <c r="H5" s="6">
        <v>-8.6836868834388508</v>
      </c>
      <c r="I5" s="6">
        <v>-1.190190205659299</v>
      </c>
      <c r="J5" s="6" t="s">
        <v>370</v>
      </c>
      <c r="K5" s="6" t="s">
        <v>369</v>
      </c>
      <c r="L5" s="6">
        <v>1</v>
      </c>
      <c r="M5" s="6">
        <v>575.29537320630857</v>
      </c>
      <c r="N5" s="6">
        <v>85.847090909090909</v>
      </c>
      <c r="O5" s="6" t="s">
        <v>365</v>
      </c>
      <c r="P5" s="6">
        <v>115501.94532857439</v>
      </c>
      <c r="Q5" s="6">
        <v>215248.43747168061</v>
      </c>
      <c r="R5" s="6">
        <v>99746.492143106152</v>
      </c>
      <c r="S5" s="6" t="s">
        <v>371</v>
      </c>
    </row>
    <row r="6" spans="1:19" x14ac:dyDescent="0.2">
      <c r="A6" s="6" t="s">
        <v>53</v>
      </c>
      <c r="B6" s="6" t="s">
        <v>54</v>
      </c>
      <c r="C6" s="6" t="s">
        <v>362</v>
      </c>
      <c r="D6" s="21">
        <v>1499</v>
      </c>
      <c r="E6" s="6">
        <v>345.72748267898379</v>
      </c>
      <c r="F6" s="6">
        <v>1270</v>
      </c>
      <c r="G6" s="6">
        <v>-0.15276851234156111</v>
      </c>
      <c r="H6" s="6">
        <v>-3.643622761666514</v>
      </c>
      <c r="I6" s="6">
        <v>-1.4624017424875171</v>
      </c>
      <c r="J6" s="6" t="s">
        <v>363</v>
      </c>
      <c r="K6" s="6" t="s">
        <v>364</v>
      </c>
      <c r="L6" s="6"/>
      <c r="M6" s="6">
        <v>538.1700579131558</v>
      </c>
      <c r="N6" s="6">
        <v>473.97386904761902</v>
      </c>
      <c r="O6" s="6" t="s">
        <v>365</v>
      </c>
      <c r="P6" s="6">
        <v>354379.7039343451</v>
      </c>
      <c r="Q6" s="6">
        <v>428397.4289950282</v>
      </c>
      <c r="R6" s="6">
        <v>74017.725060683093</v>
      </c>
      <c r="S6" s="6" t="s">
        <v>371</v>
      </c>
    </row>
    <row r="7" spans="1:19" x14ac:dyDescent="0.2">
      <c r="A7" s="6" t="s">
        <v>56</v>
      </c>
      <c r="B7" s="6" t="s">
        <v>57</v>
      </c>
      <c r="C7" s="6" t="s">
        <v>367</v>
      </c>
      <c r="D7" s="21">
        <v>363.08371040723978</v>
      </c>
      <c r="E7" s="6">
        <v>204.1570438799076</v>
      </c>
      <c r="F7" s="6">
        <v>310</v>
      </c>
      <c r="G7" s="6">
        <v>-0.14620240150047051</v>
      </c>
      <c r="H7" s="6">
        <v>-10</v>
      </c>
      <c r="I7" s="6">
        <v>-1.095847427649479</v>
      </c>
      <c r="J7" s="6" t="s">
        <v>370</v>
      </c>
      <c r="K7" s="6" t="s">
        <v>369</v>
      </c>
      <c r="L7" s="6">
        <v>1</v>
      </c>
      <c r="M7" s="6">
        <v>502.63954486470169</v>
      </c>
      <c r="N7" s="6">
        <v>31.75682926829268</v>
      </c>
      <c r="O7" s="6" t="s">
        <v>365</v>
      </c>
      <c r="P7" s="6">
        <v>67642.716611276963</v>
      </c>
      <c r="Q7" s="6">
        <v>139856.0206982969</v>
      </c>
      <c r="R7" s="6">
        <v>72213.304087019904</v>
      </c>
      <c r="S7" s="6" t="s">
        <v>366</v>
      </c>
    </row>
    <row r="8" spans="1:19" x14ac:dyDescent="0.2">
      <c r="A8" s="6" t="s">
        <v>59</v>
      </c>
      <c r="B8" s="6" t="s">
        <v>60</v>
      </c>
      <c r="C8" s="6" t="s">
        <v>367</v>
      </c>
      <c r="D8" s="21">
        <v>303.10192214504929</v>
      </c>
      <c r="E8" s="6">
        <v>1429.792147806005</v>
      </c>
      <c r="F8" s="6">
        <v>260</v>
      </c>
      <c r="G8" s="6">
        <v>-0.1422027344466093</v>
      </c>
      <c r="H8" s="6">
        <v>-2.8740065288678922</v>
      </c>
      <c r="I8" s="6">
        <v>-1.133506949494552</v>
      </c>
      <c r="J8" s="6" t="s">
        <v>370</v>
      </c>
      <c r="K8" s="6" t="s">
        <v>369</v>
      </c>
      <c r="L8" s="6">
        <v>1</v>
      </c>
      <c r="M8" s="6">
        <v>2014.136170090997</v>
      </c>
      <c r="N8" s="6">
        <v>35.700013157894738</v>
      </c>
      <c r="O8" s="6" t="s">
        <v>365</v>
      </c>
      <c r="P8" s="6">
        <v>382329.14977816952</v>
      </c>
      <c r="Q8" s="6">
        <v>451770.71644961881</v>
      </c>
      <c r="R8" s="6">
        <v>69441.566671449342</v>
      </c>
      <c r="S8" s="6" t="s">
        <v>366</v>
      </c>
    </row>
    <row r="9" spans="1:19" x14ac:dyDescent="0.2">
      <c r="A9" s="6" t="s">
        <v>62</v>
      </c>
      <c r="B9" s="6" t="s">
        <v>63</v>
      </c>
      <c r="C9" s="6" t="s">
        <v>362</v>
      </c>
      <c r="D9" s="21">
        <v>799</v>
      </c>
      <c r="E9" s="6">
        <v>757.5057736720554</v>
      </c>
      <c r="F9" s="6">
        <v>680</v>
      </c>
      <c r="G9" s="6">
        <v>-0.14893617021276601</v>
      </c>
      <c r="H9" s="6">
        <v>-2.6197664336783242</v>
      </c>
      <c r="I9" s="6">
        <v>-1.302602153431176</v>
      </c>
      <c r="J9" s="6" t="s">
        <v>363</v>
      </c>
      <c r="K9" s="6" t="s">
        <v>364</v>
      </c>
      <c r="L9" s="6"/>
      <c r="M9" s="6">
        <v>1053.067845890886</v>
      </c>
      <c r="N9" s="6">
        <v>185.61240663900409</v>
      </c>
      <c r="O9" s="6" t="s">
        <v>365</v>
      </c>
      <c r="P9" s="6">
        <v>464644.6434697613</v>
      </c>
      <c r="Q9" s="6">
        <v>520623.67797584349</v>
      </c>
      <c r="R9" s="6">
        <v>55979.034506082193</v>
      </c>
      <c r="S9" s="6" t="s">
        <v>366</v>
      </c>
    </row>
    <row r="10" spans="1:19" x14ac:dyDescent="0.2">
      <c r="A10" s="6" t="s">
        <v>65</v>
      </c>
      <c r="B10" s="6" t="s">
        <v>66</v>
      </c>
      <c r="C10" s="6" t="s">
        <v>362</v>
      </c>
      <c r="D10" s="21">
        <v>1199</v>
      </c>
      <c r="E10" s="6">
        <v>261.20092378752878</v>
      </c>
      <c r="F10" s="6">
        <v>1020</v>
      </c>
      <c r="G10" s="6">
        <v>-0.1492910758965805</v>
      </c>
      <c r="H10" s="6">
        <v>-3.643622761666514</v>
      </c>
      <c r="I10" s="6">
        <v>-1.348857713459342</v>
      </c>
      <c r="J10" s="6" t="s">
        <v>363</v>
      </c>
      <c r="K10" s="6" t="s">
        <v>364</v>
      </c>
      <c r="L10" s="6"/>
      <c r="M10" s="6">
        <v>403.28387291114882</v>
      </c>
      <c r="N10" s="6">
        <v>310.0997193877551</v>
      </c>
      <c r="O10" s="6" t="s">
        <v>365</v>
      </c>
      <c r="P10" s="6">
        <v>232181.57445091201</v>
      </c>
      <c r="Q10" s="6">
        <v>286291.3345460174</v>
      </c>
      <c r="R10" s="6">
        <v>54109.760095105448</v>
      </c>
      <c r="S10" s="6" t="s">
        <v>372</v>
      </c>
    </row>
    <row r="11" spans="1:19" x14ac:dyDescent="0.2">
      <c r="A11" s="6" t="s">
        <v>67</v>
      </c>
      <c r="B11" s="6" t="s">
        <v>68</v>
      </c>
      <c r="C11" s="6" t="s">
        <v>367</v>
      </c>
      <c r="D11" s="21">
        <v>714.78550207961973</v>
      </c>
      <c r="E11" s="6">
        <v>388.68360277136259</v>
      </c>
      <c r="F11" s="6">
        <v>610</v>
      </c>
      <c r="G11" s="6">
        <v>-0.14659712847386169</v>
      </c>
      <c r="H11" s="6">
        <v>-3.6115594410919201</v>
      </c>
      <c r="I11" s="6">
        <v>-1.4327037985230531</v>
      </c>
      <c r="J11" s="6" t="s">
        <v>370</v>
      </c>
      <c r="K11" s="6" t="s">
        <v>369</v>
      </c>
      <c r="L11" s="6">
        <v>2</v>
      </c>
      <c r="M11" s="6">
        <v>594.46989875359213</v>
      </c>
      <c r="N11" s="6">
        <v>215.87881751824821</v>
      </c>
      <c r="O11" s="6" t="s">
        <v>365</v>
      </c>
      <c r="P11" s="6">
        <v>193916.84760202959</v>
      </c>
      <c r="Q11" s="6">
        <v>234293.17944657299</v>
      </c>
      <c r="R11" s="6">
        <v>40376.331844543398</v>
      </c>
      <c r="S11" s="6" t="s">
        <v>371</v>
      </c>
    </row>
    <row r="12" spans="1:19" x14ac:dyDescent="0.2">
      <c r="A12" s="6" t="s">
        <v>69</v>
      </c>
      <c r="B12" s="6" t="s">
        <v>70</v>
      </c>
      <c r="C12" s="6" t="s">
        <v>362</v>
      </c>
      <c r="D12" s="21">
        <v>899</v>
      </c>
      <c r="E12" s="6">
        <v>415.70438799076209</v>
      </c>
      <c r="F12" s="6">
        <v>760</v>
      </c>
      <c r="G12" s="6">
        <v>-0.1546162402669633</v>
      </c>
      <c r="H12" s="6">
        <v>-2.6197664336783242</v>
      </c>
      <c r="I12" s="6">
        <v>-1.2573872302461879</v>
      </c>
      <c r="J12" s="6" t="s">
        <v>363</v>
      </c>
      <c r="K12" s="6" t="s">
        <v>364</v>
      </c>
      <c r="L12" s="6"/>
      <c r="M12" s="6">
        <v>584.08895737535329</v>
      </c>
      <c r="N12" s="6">
        <v>184.0253459119497</v>
      </c>
      <c r="O12" s="6" t="s">
        <v>365</v>
      </c>
      <c r="P12" s="6">
        <v>297218.10100657982</v>
      </c>
      <c r="Q12" s="6">
        <v>336420.43518091913</v>
      </c>
      <c r="R12" s="6">
        <v>39202.334174339252</v>
      </c>
      <c r="S12" s="6" t="s">
        <v>371</v>
      </c>
    </row>
    <row r="13" spans="1:19" x14ac:dyDescent="0.2">
      <c r="A13" s="6" t="s">
        <v>72</v>
      </c>
      <c r="B13" s="6" t="s">
        <v>73</v>
      </c>
      <c r="C13" s="6" t="s">
        <v>367</v>
      </c>
      <c r="D13" s="21">
        <v>422.99564549180332</v>
      </c>
      <c r="E13" s="6">
        <v>901.61662817551962</v>
      </c>
      <c r="F13" s="6">
        <v>470</v>
      </c>
      <c r="G13" s="6">
        <v>0.11112254939065939</v>
      </c>
      <c r="H13" s="6">
        <v>-0.1663277053804128</v>
      </c>
      <c r="I13" s="6">
        <v>-1.186278264768557</v>
      </c>
      <c r="J13" s="6" t="s">
        <v>370</v>
      </c>
      <c r="K13" s="6" t="s">
        <v>369</v>
      </c>
      <c r="L13" s="6">
        <v>1</v>
      </c>
      <c r="M13" s="6">
        <v>884.95226563656172</v>
      </c>
      <c r="N13" s="6">
        <v>66.421932515337417</v>
      </c>
      <c r="O13" s="6" t="s">
        <v>365</v>
      </c>
      <c r="P13" s="6">
        <v>321492.78878986672</v>
      </c>
      <c r="Q13" s="6">
        <v>357147.32518177741</v>
      </c>
      <c r="R13" s="6">
        <v>35654.536391910689</v>
      </c>
      <c r="S13" s="6" t="s">
        <v>366</v>
      </c>
    </row>
    <row r="14" spans="1:19" x14ac:dyDescent="0.2">
      <c r="A14" s="6" t="s">
        <v>76</v>
      </c>
      <c r="B14" s="6" t="s">
        <v>77</v>
      </c>
      <c r="C14" s="6" t="s">
        <v>367</v>
      </c>
      <c r="D14" s="21">
        <v>604.69083969465646</v>
      </c>
      <c r="E14" s="6">
        <v>484.06466512702082</v>
      </c>
      <c r="F14" s="6">
        <v>510</v>
      </c>
      <c r="G14" s="6">
        <v>-0.15659380542703669</v>
      </c>
      <c r="H14" s="6">
        <v>-2.3697537837821541</v>
      </c>
      <c r="I14" s="6">
        <v>-1.120977557148654</v>
      </c>
      <c r="J14" s="6" t="s">
        <v>363</v>
      </c>
      <c r="K14" s="6" t="s">
        <v>364</v>
      </c>
      <c r="L14" s="6"/>
      <c r="M14" s="6">
        <v>663.69562288595364</v>
      </c>
      <c r="N14" s="6">
        <v>65.259130434782605</v>
      </c>
      <c r="O14" s="6" t="s">
        <v>365</v>
      </c>
      <c r="P14" s="6">
        <v>261119.82970177729</v>
      </c>
      <c r="Q14" s="6">
        <v>295172.5684489276</v>
      </c>
      <c r="R14" s="6">
        <v>34052.738747150353</v>
      </c>
      <c r="S14" s="6" t="s">
        <v>366</v>
      </c>
    </row>
    <row r="15" spans="1:19" x14ac:dyDescent="0.2">
      <c r="A15" s="6" t="s">
        <v>79</v>
      </c>
      <c r="B15" s="6" t="s">
        <v>80</v>
      </c>
      <c r="C15" s="6" t="s">
        <v>362</v>
      </c>
      <c r="D15" s="21">
        <v>1149</v>
      </c>
      <c r="E15" s="6">
        <v>92.840646651270205</v>
      </c>
      <c r="F15" s="6">
        <v>980</v>
      </c>
      <c r="G15" s="6">
        <v>-0.1470844212358573</v>
      </c>
      <c r="H15" s="6">
        <v>-3.643622761666514</v>
      </c>
      <c r="I15" s="6">
        <v>-1.088090903219133</v>
      </c>
      <c r="J15" s="6" t="s">
        <v>363</v>
      </c>
      <c r="K15" s="6" t="s">
        <v>364</v>
      </c>
      <c r="L15" s="6"/>
      <c r="M15" s="6">
        <v>142.59581947593739</v>
      </c>
      <c r="N15" s="6">
        <v>93.022051282051279</v>
      </c>
      <c r="O15" s="6" t="s">
        <v>365</v>
      </c>
      <c r="P15" s="6">
        <v>98037.675608456208</v>
      </c>
      <c r="Q15" s="6">
        <v>126479.34745452191</v>
      </c>
      <c r="R15" s="6">
        <v>28441.67184606571</v>
      </c>
      <c r="S15" s="6" t="s">
        <v>372</v>
      </c>
    </row>
    <row r="16" spans="1:19" x14ac:dyDescent="0.2">
      <c r="A16" s="6" t="s">
        <v>81</v>
      </c>
      <c r="B16" s="6" t="s">
        <v>82</v>
      </c>
      <c r="C16" s="6" t="s">
        <v>362</v>
      </c>
      <c r="D16" s="21">
        <v>699</v>
      </c>
      <c r="E16" s="6">
        <v>346.42032332563508</v>
      </c>
      <c r="F16" s="6">
        <v>590</v>
      </c>
      <c r="G16" s="6">
        <v>-0.15593705293276111</v>
      </c>
      <c r="H16" s="6">
        <v>-2.6197664336783242</v>
      </c>
      <c r="I16" s="6">
        <v>-1.2516740468878169</v>
      </c>
      <c r="J16" s="6" t="s">
        <v>363</v>
      </c>
      <c r="K16" s="6" t="s">
        <v>364</v>
      </c>
      <c r="L16" s="6"/>
      <c r="M16" s="6">
        <v>487.9394885819749</v>
      </c>
      <c r="N16" s="6">
        <v>140.5479</v>
      </c>
      <c r="O16" s="6" t="s">
        <v>365</v>
      </c>
      <c r="P16" s="6">
        <v>193459.15704387991</v>
      </c>
      <c r="Q16" s="6">
        <v>219305.4278160946</v>
      </c>
      <c r="R16" s="6">
        <v>25846.27077221475</v>
      </c>
      <c r="S16" s="6" t="s">
        <v>366</v>
      </c>
    </row>
    <row r="17" spans="1:19" x14ac:dyDescent="0.2">
      <c r="A17" s="6" t="s">
        <v>84</v>
      </c>
      <c r="B17" s="6" t="s">
        <v>85</v>
      </c>
      <c r="C17" s="6" t="s">
        <v>367</v>
      </c>
      <c r="D17" s="21">
        <v>357.04063957361763</v>
      </c>
      <c r="E17" s="6">
        <v>1039.953810623557</v>
      </c>
      <c r="F17" s="6">
        <v>390</v>
      </c>
      <c r="G17" s="6">
        <v>9.2312629917263522E-2</v>
      </c>
      <c r="H17" s="6">
        <v>-0.47331160471352868</v>
      </c>
      <c r="I17" s="6">
        <v>-1.3726045489549481</v>
      </c>
      <c r="J17" s="6" t="s">
        <v>368</v>
      </c>
      <c r="K17" s="6" t="s">
        <v>369</v>
      </c>
      <c r="L17" s="6">
        <v>4</v>
      </c>
      <c r="M17" s="6">
        <v>994.51548419778248</v>
      </c>
      <c r="N17" s="6">
        <v>96.921554404145084</v>
      </c>
      <c r="O17" s="6" t="s">
        <v>365</v>
      </c>
      <c r="P17" s="6">
        <v>270511.83383790642</v>
      </c>
      <c r="Q17" s="6">
        <v>291471.05222969508</v>
      </c>
      <c r="R17" s="6">
        <v>20959.218391788771</v>
      </c>
      <c r="S17" s="6" t="s">
        <v>366</v>
      </c>
    </row>
    <row r="18" spans="1:19" x14ac:dyDescent="0.2">
      <c r="A18" s="6" t="s">
        <v>87</v>
      </c>
      <c r="B18" s="6" t="s">
        <v>88</v>
      </c>
      <c r="C18" s="6" t="s">
        <v>362</v>
      </c>
      <c r="D18" s="21">
        <v>3199</v>
      </c>
      <c r="E18" s="6">
        <v>267.43648960739029</v>
      </c>
      <c r="F18" s="6">
        <v>3360</v>
      </c>
      <c r="G18" s="6">
        <v>5.0328227571115977E-2</v>
      </c>
      <c r="H18" s="6">
        <v>-1.504740857521367</v>
      </c>
      <c r="I18" s="6">
        <v>-3.054455447251458</v>
      </c>
      <c r="J18" s="6" t="s">
        <v>363</v>
      </c>
      <c r="K18" s="6" t="s">
        <v>364</v>
      </c>
      <c r="L18" s="6"/>
      <c r="M18" s="6">
        <v>247.18327277544381</v>
      </c>
      <c r="N18" s="6">
        <v>2151.6774722222221</v>
      </c>
      <c r="O18" s="6" t="s">
        <v>365</v>
      </c>
      <c r="P18" s="6">
        <v>280092.26031562738</v>
      </c>
      <c r="Q18" s="6">
        <v>298677.11698440817</v>
      </c>
      <c r="R18" s="6">
        <v>18584.856668780791</v>
      </c>
      <c r="S18" s="6" t="s">
        <v>366</v>
      </c>
    </row>
    <row r="19" spans="1:19" x14ac:dyDescent="0.2">
      <c r="A19" s="6" t="s">
        <v>90</v>
      </c>
      <c r="B19" s="6" t="s">
        <v>91</v>
      </c>
      <c r="C19" s="6" t="s">
        <v>367</v>
      </c>
      <c r="D19" s="21">
        <v>630.74826388888891</v>
      </c>
      <c r="E19" s="6">
        <v>133.02540415704391</v>
      </c>
      <c r="F19" s="6">
        <v>540</v>
      </c>
      <c r="G19" s="6">
        <v>-0.14387398124471881</v>
      </c>
      <c r="H19" s="6">
        <v>-3.243527372700366</v>
      </c>
      <c r="I19" s="6">
        <v>-1.166130323251787</v>
      </c>
      <c r="J19" s="6" t="s">
        <v>370</v>
      </c>
      <c r="K19" s="6" t="s">
        <v>369</v>
      </c>
      <c r="L19" s="6">
        <v>1</v>
      </c>
      <c r="M19" s="6">
        <v>195.10293235997591</v>
      </c>
      <c r="N19" s="6">
        <v>89.858235294117648</v>
      </c>
      <c r="O19" s="6" t="s">
        <v>365</v>
      </c>
      <c r="P19" s="6">
        <v>71952.114658334467</v>
      </c>
      <c r="Q19" s="6">
        <v>87823.978271811939</v>
      </c>
      <c r="R19" s="6">
        <v>15871.86361347747</v>
      </c>
      <c r="S19" s="6" t="s">
        <v>366</v>
      </c>
    </row>
    <row r="20" spans="1:19" x14ac:dyDescent="0.2">
      <c r="A20" s="6" t="s">
        <v>92</v>
      </c>
      <c r="B20" s="6" t="s">
        <v>93</v>
      </c>
      <c r="C20" s="6" t="s">
        <v>362</v>
      </c>
      <c r="D20" s="21">
        <v>1299</v>
      </c>
      <c r="E20" s="6">
        <v>57.274826789838343</v>
      </c>
      <c r="F20" s="6">
        <v>1100</v>
      </c>
      <c r="G20" s="6">
        <v>-0.1531947652040031</v>
      </c>
      <c r="H20" s="6">
        <v>-3.643622761666514</v>
      </c>
      <c r="I20" s="6">
        <v>-1.236900342727834</v>
      </c>
      <c r="J20" s="6" t="s">
        <v>363</v>
      </c>
      <c r="K20" s="6" t="s">
        <v>364</v>
      </c>
      <c r="L20" s="6"/>
      <c r="M20" s="6">
        <v>89.24471489594336</v>
      </c>
      <c r="N20" s="6">
        <v>248.7941304347826</v>
      </c>
      <c r="O20" s="6" t="s">
        <v>365</v>
      </c>
      <c r="P20" s="6">
        <v>60150.359273019378</v>
      </c>
      <c r="Q20" s="6">
        <v>75965.625147101382</v>
      </c>
      <c r="R20" s="6">
        <v>15815.265874082001</v>
      </c>
      <c r="S20" s="6" t="s">
        <v>372</v>
      </c>
    </row>
    <row r="21" spans="1:19" x14ac:dyDescent="0.2">
      <c r="A21" s="6" t="s">
        <v>94</v>
      </c>
      <c r="B21" s="6" t="s">
        <v>95</v>
      </c>
      <c r="C21" s="6" t="s">
        <v>362</v>
      </c>
      <c r="D21" s="21">
        <v>1299</v>
      </c>
      <c r="E21" s="6">
        <v>71.131639722863738</v>
      </c>
      <c r="F21" s="6">
        <v>1100</v>
      </c>
      <c r="G21" s="6">
        <v>-0.1531947652040031</v>
      </c>
      <c r="H21" s="6">
        <v>-3.643622761666514</v>
      </c>
      <c r="I21" s="6">
        <v>-1.4060887022957591</v>
      </c>
      <c r="J21" s="6" t="s">
        <v>363</v>
      </c>
      <c r="K21" s="6" t="s">
        <v>364</v>
      </c>
      <c r="L21" s="6"/>
      <c r="M21" s="6">
        <v>110.83617817722001</v>
      </c>
      <c r="N21" s="6">
        <v>375.16070175438603</v>
      </c>
      <c r="O21" s="6" t="s">
        <v>365</v>
      </c>
      <c r="P21" s="6">
        <v>65714.204124630283</v>
      </c>
      <c r="Q21" s="6">
        <v>80338.41761020197</v>
      </c>
      <c r="R21" s="6">
        <v>14624.21348557169</v>
      </c>
      <c r="S21" s="6" t="s">
        <v>372</v>
      </c>
    </row>
    <row r="22" spans="1:19" x14ac:dyDescent="0.2">
      <c r="A22" s="6" t="s">
        <v>96</v>
      </c>
      <c r="B22" s="6" t="s">
        <v>97</v>
      </c>
      <c r="C22" s="6" t="s">
        <v>367</v>
      </c>
      <c r="D22" s="21">
        <v>77.286473607038118</v>
      </c>
      <c r="E22" s="6">
        <v>1260.046189376443</v>
      </c>
      <c r="F22" s="6">
        <v>90</v>
      </c>
      <c r="G22" s="6">
        <v>0.16449872532163401</v>
      </c>
      <c r="H22" s="6">
        <v>-0.26127499161594198</v>
      </c>
      <c r="I22" s="6">
        <v>-1.1448822890590189</v>
      </c>
      <c r="J22" s="6" t="s">
        <v>368</v>
      </c>
      <c r="K22" s="6" t="s">
        <v>369</v>
      </c>
      <c r="L22" s="6">
        <v>4</v>
      </c>
      <c r="M22" s="6">
        <v>1205.8901563047691</v>
      </c>
      <c r="N22" s="6">
        <v>9.7804301075268807</v>
      </c>
      <c r="O22" s="6" t="s">
        <v>365</v>
      </c>
      <c r="P22" s="6">
        <v>85060.732871439555</v>
      </c>
      <c r="Q22" s="6">
        <v>96735.989676335739</v>
      </c>
      <c r="R22" s="6">
        <v>11675.25680489618</v>
      </c>
      <c r="S22" s="6" t="s">
        <v>371</v>
      </c>
    </row>
    <row r="23" spans="1:19" x14ac:dyDescent="0.2">
      <c r="A23" s="6" t="s">
        <v>99</v>
      </c>
      <c r="B23" s="6" t="s">
        <v>100</v>
      </c>
      <c r="C23" s="6" t="s">
        <v>362</v>
      </c>
      <c r="D23" s="21">
        <v>961.41134751773052</v>
      </c>
      <c r="E23" s="6">
        <v>65.127020785219401</v>
      </c>
      <c r="F23" s="6">
        <v>820</v>
      </c>
      <c r="G23" s="6">
        <v>-0.14708724614374549</v>
      </c>
      <c r="H23" s="6">
        <v>-3.3778008215263711</v>
      </c>
      <c r="I23" s="6">
        <v>-1.3012028023740629</v>
      </c>
      <c r="J23" s="6" t="s">
        <v>370</v>
      </c>
      <c r="K23" s="6" t="s">
        <v>369</v>
      </c>
      <c r="L23" s="6">
        <v>1</v>
      </c>
      <c r="M23" s="6">
        <v>97.484171058344444</v>
      </c>
      <c r="N23" s="6">
        <v>222.54777777777781</v>
      </c>
      <c r="O23" s="6" t="s">
        <v>365</v>
      </c>
      <c r="P23" s="6">
        <v>48119.983063895314</v>
      </c>
      <c r="Q23" s="6">
        <v>58242.134630299122</v>
      </c>
      <c r="R23" s="6">
        <v>10122.15156640382</v>
      </c>
      <c r="S23" s="6" t="s">
        <v>372</v>
      </c>
    </row>
    <row r="24" spans="1:19" x14ac:dyDescent="0.2">
      <c r="A24" s="6" t="s">
        <v>101</v>
      </c>
      <c r="B24" s="6" t="s">
        <v>102</v>
      </c>
      <c r="C24" s="6" t="s">
        <v>367</v>
      </c>
      <c r="D24" s="21">
        <v>200.69774011299441</v>
      </c>
      <c r="E24" s="6">
        <v>81.755196304849889</v>
      </c>
      <c r="F24" s="6">
        <v>170</v>
      </c>
      <c r="G24" s="6">
        <v>-0.15295508606978481</v>
      </c>
      <c r="H24" s="6">
        <v>-4.6663187043346932</v>
      </c>
      <c r="I24" s="6">
        <v>-1.026418763186534</v>
      </c>
      <c r="J24" s="6" t="s">
        <v>368</v>
      </c>
      <c r="K24" s="6" t="s">
        <v>369</v>
      </c>
      <c r="L24" s="6">
        <v>3</v>
      </c>
      <c r="M24" s="6">
        <v>140.1069194881982</v>
      </c>
      <c r="N24" s="6">
        <v>5.1657142857142846</v>
      </c>
      <c r="O24" s="6" t="s">
        <v>365</v>
      </c>
      <c r="P24" s="6">
        <v>15985.75915539426</v>
      </c>
      <c r="Q24" s="6">
        <v>23094.423997466089</v>
      </c>
      <c r="R24" s="6">
        <v>7108.6648420718266</v>
      </c>
      <c r="S24" s="6" t="s">
        <v>371</v>
      </c>
    </row>
    <row r="25" spans="1:19" x14ac:dyDescent="0.2">
      <c r="A25" s="6" t="s">
        <v>103</v>
      </c>
      <c r="B25" s="6" t="s">
        <v>104</v>
      </c>
      <c r="C25" s="6" t="s">
        <v>367</v>
      </c>
      <c r="D25" s="21">
        <v>245.88836104513061</v>
      </c>
      <c r="E25" s="6">
        <v>97.228637413394921</v>
      </c>
      <c r="F25" s="6">
        <v>210</v>
      </c>
      <c r="G25" s="6">
        <v>-0.1459538828620833</v>
      </c>
      <c r="H25" s="6">
        <v>-3.733754834493539</v>
      </c>
      <c r="I25" s="6">
        <v>-1.13023524958875</v>
      </c>
      <c r="J25" s="6" t="s">
        <v>370</v>
      </c>
      <c r="K25" s="6" t="s">
        <v>369</v>
      </c>
      <c r="L25" s="6">
        <v>2</v>
      </c>
      <c r="M25" s="6">
        <v>150.21396827494229</v>
      </c>
      <c r="N25" s="6">
        <v>28.333333333333329</v>
      </c>
      <c r="O25" s="6" t="s">
        <v>365</v>
      </c>
      <c r="P25" s="6">
        <v>21152.57890685142</v>
      </c>
      <c r="Q25" s="6">
        <v>27288.870903281189</v>
      </c>
      <c r="R25" s="6">
        <v>6136.2919964297689</v>
      </c>
      <c r="S25" s="6" t="s">
        <v>371</v>
      </c>
    </row>
    <row r="26" spans="1:19" x14ac:dyDescent="0.2">
      <c r="A26" s="6" t="s">
        <v>105</v>
      </c>
      <c r="B26" s="6" t="s">
        <v>106</v>
      </c>
      <c r="C26" s="6" t="s">
        <v>367</v>
      </c>
      <c r="D26" s="21">
        <v>532.52452830188679</v>
      </c>
      <c r="E26" s="6">
        <v>61.200923787528858</v>
      </c>
      <c r="F26" s="6">
        <v>590</v>
      </c>
      <c r="G26" s="6">
        <v>0.1079301865801203</v>
      </c>
      <c r="H26" s="6">
        <v>-6.4314457303966621E-2</v>
      </c>
      <c r="I26" s="6">
        <v>-1.1328111098475471</v>
      </c>
      <c r="J26" s="6" t="s">
        <v>370</v>
      </c>
      <c r="K26" s="6" t="s">
        <v>369</v>
      </c>
      <c r="L26" s="6">
        <v>1</v>
      </c>
      <c r="M26" s="6">
        <v>60.776099326835258</v>
      </c>
      <c r="N26" s="6">
        <v>62.43333333333333</v>
      </c>
      <c r="O26" s="6" t="s">
        <v>365</v>
      </c>
      <c r="P26" s="6">
        <v>28770.01539645881</v>
      </c>
      <c r="Q26" s="6">
        <v>32063.444134860729</v>
      </c>
      <c r="R26" s="6">
        <v>3293.4287384019121</v>
      </c>
      <c r="S26" s="6" t="s">
        <v>366</v>
      </c>
    </row>
    <row r="27" spans="1:19" x14ac:dyDescent="0.2">
      <c r="A27" s="6" t="s">
        <v>108</v>
      </c>
      <c r="B27" s="6" t="s">
        <v>109</v>
      </c>
      <c r="C27" s="6" t="s">
        <v>367</v>
      </c>
      <c r="D27" s="21">
        <v>609.55535390199634</v>
      </c>
      <c r="E27" s="6">
        <v>127.2517321016166</v>
      </c>
      <c r="F27" s="6">
        <v>550</v>
      </c>
      <c r="G27" s="6">
        <v>-9.7702946124186757E-2</v>
      </c>
      <c r="H27" s="6">
        <v>-1.7641271114040109</v>
      </c>
      <c r="I27" s="6">
        <v>-1.13764326814377</v>
      </c>
      <c r="J27" s="6" t="s">
        <v>368</v>
      </c>
      <c r="K27" s="6" t="s">
        <v>369</v>
      </c>
      <c r="L27" s="6">
        <v>4</v>
      </c>
      <c r="M27" s="6">
        <v>149.18489359886129</v>
      </c>
      <c r="N27" s="6">
        <v>73.75</v>
      </c>
      <c r="O27" s="6" t="s">
        <v>365</v>
      </c>
      <c r="P27" s="6">
        <v>68182.159353348718</v>
      </c>
      <c r="Q27" s="6">
        <v>71049.3055764577</v>
      </c>
      <c r="R27" s="6">
        <v>2867.1462231089831</v>
      </c>
      <c r="S27" s="6" t="s">
        <v>366</v>
      </c>
    </row>
    <row r="28" spans="1:19" x14ac:dyDescent="0.2">
      <c r="A28" s="6" t="s">
        <v>111</v>
      </c>
      <c r="B28" s="6" t="s">
        <v>112</v>
      </c>
      <c r="C28" s="6" t="s">
        <v>367</v>
      </c>
      <c r="D28" s="21">
        <v>573.99701492537315</v>
      </c>
      <c r="E28" s="6">
        <v>77.367205542725173</v>
      </c>
      <c r="F28" s="6">
        <v>490</v>
      </c>
      <c r="G28" s="6">
        <v>-0.1463370239587288</v>
      </c>
      <c r="H28" s="6">
        <v>-1.832149505494403</v>
      </c>
      <c r="I28" s="6">
        <v>-1.1639470534202361</v>
      </c>
      <c r="J28" s="6" t="s">
        <v>368</v>
      </c>
      <c r="K28" s="6" t="s">
        <v>369</v>
      </c>
      <c r="L28" s="6">
        <v>3</v>
      </c>
      <c r="M28" s="6">
        <v>98.110228068661684</v>
      </c>
      <c r="N28" s="6">
        <v>80.849999999999994</v>
      </c>
      <c r="O28" s="6" t="s">
        <v>365</v>
      </c>
      <c r="P28" s="6">
        <v>38153.406466512701</v>
      </c>
      <c r="Q28" s="6">
        <v>40141.799814292928</v>
      </c>
      <c r="R28" s="6">
        <v>1988.393347780227</v>
      </c>
      <c r="S28" s="6" t="s">
        <v>366</v>
      </c>
    </row>
    <row r="29" spans="1:19" x14ac:dyDescent="0.2">
      <c r="A29" s="6" t="s">
        <v>113</v>
      </c>
      <c r="B29" s="6" t="s">
        <v>114</v>
      </c>
      <c r="C29" s="6" t="s">
        <v>362</v>
      </c>
      <c r="D29" s="21">
        <v>1149</v>
      </c>
      <c r="E29" s="6">
        <v>138.1062355658199</v>
      </c>
      <c r="F29" s="6">
        <v>1210</v>
      </c>
      <c r="G29" s="6">
        <v>5.3089643167972149E-2</v>
      </c>
      <c r="H29" s="6">
        <v>-0.78290550930127867</v>
      </c>
      <c r="I29" s="6">
        <v>-1.058249414445243</v>
      </c>
      <c r="J29" s="6" t="s">
        <v>370</v>
      </c>
      <c r="K29" s="6" t="s">
        <v>369</v>
      </c>
      <c r="L29" s="6">
        <v>1</v>
      </c>
      <c r="M29" s="6">
        <v>132.36596394328399</v>
      </c>
      <c r="N29" s="6">
        <v>63.244615384615393</v>
      </c>
      <c r="O29" s="6" t="s">
        <v>365</v>
      </c>
      <c r="P29" s="6">
        <v>149949.58891454971</v>
      </c>
      <c r="Q29" s="6">
        <v>151791.38189176671</v>
      </c>
      <c r="R29" s="6">
        <v>1841.792977217061</v>
      </c>
      <c r="S29" s="6" t="s">
        <v>366</v>
      </c>
    </row>
    <row r="30" spans="1:19" x14ac:dyDescent="0.2">
      <c r="A30" s="6" t="s">
        <v>116</v>
      </c>
      <c r="B30" s="6" t="s">
        <v>117</v>
      </c>
      <c r="C30" s="6" t="s">
        <v>367</v>
      </c>
      <c r="D30" s="21">
        <v>132.46422893481721</v>
      </c>
      <c r="E30" s="6">
        <v>145.26558891454971</v>
      </c>
      <c r="F30" s="6">
        <v>150</v>
      </c>
      <c r="G30" s="6">
        <v>0.13238118098895829</v>
      </c>
      <c r="H30" s="6">
        <v>-0.37837638686802072</v>
      </c>
      <c r="I30" s="6">
        <v>-1.3352586829115509</v>
      </c>
      <c r="J30" s="6" t="s">
        <v>370</v>
      </c>
      <c r="K30" s="6" t="s">
        <v>369</v>
      </c>
      <c r="L30" s="6">
        <v>4</v>
      </c>
      <c r="M30" s="6">
        <v>137.98924821090989</v>
      </c>
      <c r="N30" s="6">
        <v>33.259310344827583</v>
      </c>
      <c r="O30" s="6" t="s">
        <v>365</v>
      </c>
      <c r="P30" s="6">
        <v>14411.060922194791</v>
      </c>
      <c r="Q30" s="6">
        <v>16108.960001140391</v>
      </c>
      <c r="R30" s="6">
        <v>1697.8990789456041</v>
      </c>
      <c r="S30" s="6" t="s">
        <v>366</v>
      </c>
    </row>
    <row r="31" spans="1:19" x14ac:dyDescent="0.2">
      <c r="A31" s="6" t="s">
        <v>119</v>
      </c>
      <c r="B31" s="6" t="s">
        <v>120</v>
      </c>
      <c r="C31" s="6" t="s">
        <v>367</v>
      </c>
      <c r="D31" s="21">
        <v>683.88888888888891</v>
      </c>
      <c r="E31" s="6">
        <v>51.963048498845268</v>
      </c>
      <c r="F31" s="6">
        <v>620</v>
      </c>
      <c r="G31" s="6">
        <v>-9.3419983753046332E-2</v>
      </c>
      <c r="H31" s="6">
        <v>-2.3697537837821541</v>
      </c>
      <c r="I31" s="6">
        <v>-1.578047147565383</v>
      </c>
      <c r="J31" s="6" t="s">
        <v>363</v>
      </c>
      <c r="K31" s="6" t="s">
        <v>364</v>
      </c>
      <c r="L31" s="6"/>
      <c r="M31" s="6">
        <v>63.466750807256588</v>
      </c>
      <c r="N31" s="6">
        <v>250.51217391304351</v>
      </c>
      <c r="O31" s="6" t="s">
        <v>365</v>
      </c>
      <c r="P31" s="6">
        <v>22519.5752585601</v>
      </c>
      <c r="Q31" s="6">
        <v>23450.191784575829</v>
      </c>
      <c r="R31" s="6">
        <v>930.61652601573223</v>
      </c>
      <c r="S31" s="6" t="s">
        <v>371</v>
      </c>
    </row>
    <row r="32" spans="1:19" x14ac:dyDescent="0.2">
      <c r="A32" s="6" t="s">
        <v>122</v>
      </c>
      <c r="B32" s="6" t="s">
        <v>123</v>
      </c>
      <c r="C32" s="6" t="s">
        <v>362</v>
      </c>
      <c r="D32" s="21">
        <v>449</v>
      </c>
      <c r="E32" s="6">
        <v>163.04849884526561</v>
      </c>
      <c r="F32" s="6">
        <v>470</v>
      </c>
      <c r="G32" s="6">
        <v>4.6770601336302897E-2</v>
      </c>
      <c r="H32" s="6">
        <v>-0.79078567053692428</v>
      </c>
      <c r="I32" s="6">
        <v>-1.1097105855020879</v>
      </c>
      <c r="J32" s="6" t="s">
        <v>363</v>
      </c>
      <c r="K32" s="6" t="s">
        <v>364</v>
      </c>
      <c r="L32" s="6"/>
      <c r="M32" s="6">
        <v>157.0180651119087</v>
      </c>
      <c r="N32" s="6">
        <v>44.39</v>
      </c>
      <c r="O32" s="6" t="s">
        <v>365</v>
      </c>
      <c r="P32" s="6">
        <v>65971.053117782911</v>
      </c>
      <c r="Q32" s="6">
        <v>66828.45869227947</v>
      </c>
      <c r="R32" s="6">
        <v>857.40557449655898</v>
      </c>
      <c r="S32" s="6" t="s">
        <v>371</v>
      </c>
    </row>
    <row r="33" spans="1:19" x14ac:dyDescent="0.2">
      <c r="A33" s="6" t="s">
        <v>125</v>
      </c>
      <c r="B33" s="6" t="s">
        <v>126</v>
      </c>
      <c r="C33" s="6" t="s">
        <v>367</v>
      </c>
      <c r="D33" s="21">
        <v>73.87394957983193</v>
      </c>
      <c r="E33" s="6">
        <v>164.8960739030023</v>
      </c>
      <c r="F33" s="6">
        <v>80</v>
      </c>
      <c r="G33" s="6">
        <v>8.2925719485837837E-2</v>
      </c>
      <c r="H33" s="6">
        <v>-0.2689795110634865</v>
      </c>
      <c r="I33" s="6">
        <v>-1.1950013512909361</v>
      </c>
      <c r="J33" s="6" t="s">
        <v>370</v>
      </c>
      <c r="K33" s="6" t="s">
        <v>369</v>
      </c>
      <c r="L33" s="6">
        <v>1</v>
      </c>
      <c r="M33" s="6">
        <v>161.2180142932867</v>
      </c>
      <c r="N33" s="6">
        <v>12.05481481481481</v>
      </c>
      <c r="O33" s="6" t="s">
        <v>365</v>
      </c>
      <c r="P33" s="6">
        <v>10193.732614831921</v>
      </c>
      <c r="Q33" s="6">
        <v>10953.987836345201</v>
      </c>
      <c r="R33" s="6">
        <v>760.25522151327641</v>
      </c>
      <c r="S33" s="6" t="s">
        <v>371</v>
      </c>
    </row>
    <row r="34" spans="1:19" x14ac:dyDescent="0.2">
      <c r="A34" s="6" t="s">
        <v>128</v>
      </c>
      <c r="B34" s="6" t="s">
        <v>129</v>
      </c>
      <c r="C34" s="6" t="s">
        <v>367</v>
      </c>
      <c r="D34" s="21">
        <v>386.84776403425309</v>
      </c>
      <c r="E34" s="6">
        <v>242.7251732101617</v>
      </c>
      <c r="F34" s="6">
        <v>350</v>
      </c>
      <c r="G34" s="6">
        <v>-9.5251330006370247E-2</v>
      </c>
      <c r="H34" s="6">
        <v>-1.273147819780216</v>
      </c>
      <c r="I34" s="6">
        <v>-1.060822486075069</v>
      </c>
      <c r="J34" s="6" t="s">
        <v>363</v>
      </c>
      <c r="K34" s="6" t="s">
        <v>364</v>
      </c>
      <c r="L34" s="6"/>
      <c r="M34" s="6">
        <v>272.16021785412102</v>
      </c>
      <c r="N34" s="6">
        <v>22.18</v>
      </c>
      <c r="O34" s="6" t="s">
        <v>365</v>
      </c>
      <c r="P34" s="6">
        <v>88514.046189376444</v>
      </c>
      <c r="Q34" s="6">
        <v>89219.562616937925</v>
      </c>
      <c r="R34" s="6">
        <v>705.51642756148067</v>
      </c>
      <c r="S34" s="6" t="s">
        <v>366</v>
      </c>
    </row>
    <row r="35" spans="1:19" x14ac:dyDescent="0.2">
      <c r="A35" s="6" t="s">
        <v>131</v>
      </c>
      <c r="B35" s="6" t="s">
        <v>132</v>
      </c>
      <c r="C35" s="6" t="s">
        <v>367</v>
      </c>
      <c r="D35" s="21">
        <v>78.947039138658525</v>
      </c>
      <c r="E35" s="6">
        <v>1587.2979214780601</v>
      </c>
      <c r="F35" s="6">
        <v>80</v>
      </c>
      <c r="G35" s="6">
        <v>1.333755987342488E-2</v>
      </c>
      <c r="H35" s="6">
        <v>-0.62294760225537271</v>
      </c>
      <c r="I35" s="6">
        <v>-1.0322355323802621</v>
      </c>
      <c r="J35" s="6" t="s">
        <v>368</v>
      </c>
      <c r="K35" s="6" t="s">
        <v>369</v>
      </c>
      <c r="L35" s="6">
        <v>3</v>
      </c>
      <c r="M35" s="6">
        <v>1574.1096964707069</v>
      </c>
      <c r="N35" s="6">
        <v>2.4654255319148941</v>
      </c>
      <c r="O35" s="6" t="s">
        <v>365</v>
      </c>
      <c r="P35" s="6">
        <v>121399.10630927231</v>
      </c>
      <c r="Q35" s="6">
        <v>122047.9254819429</v>
      </c>
      <c r="R35" s="6">
        <v>648.81917267056997</v>
      </c>
      <c r="S35" s="6" t="s">
        <v>371</v>
      </c>
    </row>
    <row r="36" spans="1:19" x14ac:dyDescent="0.2">
      <c r="A36" s="6" t="s">
        <v>134</v>
      </c>
      <c r="B36" s="6" t="s">
        <v>135</v>
      </c>
      <c r="C36" s="6" t="s">
        <v>367</v>
      </c>
      <c r="D36" s="21">
        <v>384.50074738415537</v>
      </c>
      <c r="E36" s="6">
        <v>154.50346420323319</v>
      </c>
      <c r="F36" s="6">
        <v>350</v>
      </c>
      <c r="G36" s="6">
        <v>-8.9728687444359287E-2</v>
      </c>
      <c r="H36" s="6">
        <v>-1.273147819780216</v>
      </c>
      <c r="I36" s="6">
        <v>-1.030333826381314</v>
      </c>
      <c r="J36" s="6" t="s">
        <v>363</v>
      </c>
      <c r="K36" s="6" t="s">
        <v>364</v>
      </c>
      <c r="L36" s="6"/>
      <c r="M36" s="6">
        <v>172.15361283776701</v>
      </c>
      <c r="N36" s="6">
        <v>11.32</v>
      </c>
      <c r="O36" s="6" t="s">
        <v>365</v>
      </c>
      <c r="P36" s="6">
        <v>57657.718244803691</v>
      </c>
      <c r="Q36" s="6">
        <v>58304.985595894927</v>
      </c>
      <c r="R36" s="6">
        <v>647.26735109124274</v>
      </c>
      <c r="S36" s="6" t="s">
        <v>366</v>
      </c>
    </row>
    <row r="37" spans="1:19" x14ac:dyDescent="0.2">
      <c r="A37" s="6" t="s">
        <v>137</v>
      </c>
      <c r="B37" s="6" t="s">
        <v>138</v>
      </c>
      <c r="C37" s="6" t="s">
        <v>367</v>
      </c>
      <c r="D37" s="21">
        <v>162.18518518518519</v>
      </c>
      <c r="E37" s="6">
        <v>230.715935334873</v>
      </c>
      <c r="F37" s="6">
        <v>170</v>
      </c>
      <c r="G37" s="6">
        <v>4.8184517013016639E-2</v>
      </c>
      <c r="H37" s="6">
        <v>-0.68249003901496008</v>
      </c>
      <c r="I37" s="6">
        <v>-1.094753421104441</v>
      </c>
      <c r="J37" s="6" t="s">
        <v>368</v>
      </c>
      <c r="K37" s="6" t="s">
        <v>369</v>
      </c>
      <c r="L37" s="6">
        <v>3</v>
      </c>
      <c r="M37" s="6">
        <v>223.12873731103119</v>
      </c>
      <c r="N37" s="6">
        <v>14.0375</v>
      </c>
      <c r="O37" s="6" t="s">
        <v>365</v>
      </c>
      <c r="P37" s="6">
        <v>34180.031755196309</v>
      </c>
      <c r="Q37" s="6">
        <v>34799.715692871709</v>
      </c>
      <c r="R37" s="6">
        <v>619.68393767539965</v>
      </c>
      <c r="S37" s="6" t="s">
        <v>371</v>
      </c>
    </row>
    <row r="38" spans="1:19" x14ac:dyDescent="0.2">
      <c r="A38" s="6" t="s">
        <v>140</v>
      </c>
      <c r="B38" s="6" t="s">
        <v>141</v>
      </c>
      <c r="C38" s="6" t="s">
        <v>362</v>
      </c>
      <c r="D38" s="21">
        <v>375</v>
      </c>
      <c r="E38" s="6">
        <v>53.117782909930717</v>
      </c>
      <c r="F38" s="6">
        <v>390</v>
      </c>
      <c r="G38" s="6">
        <v>0.04</v>
      </c>
      <c r="H38" s="6">
        <v>-0.77725328634684787</v>
      </c>
      <c r="I38" s="6">
        <v>-1.428571428571429</v>
      </c>
      <c r="J38" s="6" t="s">
        <v>370</v>
      </c>
      <c r="K38" s="6" t="s">
        <v>369</v>
      </c>
      <c r="L38" s="6">
        <v>1</v>
      </c>
      <c r="M38" s="6">
        <v>51.466344056722633</v>
      </c>
      <c r="N38" s="6">
        <v>112.5</v>
      </c>
      <c r="O38" s="6" t="s">
        <v>373</v>
      </c>
      <c r="P38" s="6">
        <v>13943.41801385681</v>
      </c>
      <c r="Q38" s="6">
        <v>14281.910475740529</v>
      </c>
      <c r="R38" s="6">
        <v>338.49246188371762</v>
      </c>
      <c r="S38" s="6" t="s">
        <v>371</v>
      </c>
    </row>
    <row r="39" spans="1:19" x14ac:dyDescent="0.2">
      <c r="A39" s="6" t="s">
        <v>144</v>
      </c>
      <c r="B39" s="6" t="s">
        <v>145</v>
      </c>
      <c r="C39" s="6" t="s">
        <v>367</v>
      </c>
      <c r="D39" s="21">
        <v>145.65637065637071</v>
      </c>
      <c r="E39" s="6">
        <v>119.63048498845269</v>
      </c>
      <c r="F39" s="6">
        <v>150</v>
      </c>
      <c r="G39" s="6">
        <v>2.9821073558648121E-2</v>
      </c>
      <c r="H39" s="6">
        <v>-0.63314010997159254</v>
      </c>
      <c r="I39" s="6">
        <v>-1.1096244219143541</v>
      </c>
      <c r="J39" s="6" t="s">
        <v>368</v>
      </c>
      <c r="K39" s="6" t="s">
        <v>369</v>
      </c>
      <c r="L39" s="6">
        <v>2</v>
      </c>
      <c r="M39" s="6">
        <v>117.3717516359215</v>
      </c>
      <c r="N39" s="6">
        <v>14.39</v>
      </c>
      <c r="O39" s="6" t="s">
        <v>365</v>
      </c>
      <c r="P39" s="6">
        <v>15703.45958429561</v>
      </c>
      <c r="Q39" s="6">
        <v>15916.78323934732</v>
      </c>
      <c r="R39" s="6">
        <v>213.32365505170671</v>
      </c>
      <c r="S39" s="6" t="s">
        <v>366</v>
      </c>
    </row>
    <row r="40" spans="1:19" x14ac:dyDescent="0.2">
      <c r="A40" s="6" t="s">
        <v>147</v>
      </c>
      <c r="B40" s="6" t="s">
        <v>148</v>
      </c>
      <c r="C40" s="6" t="s">
        <v>367</v>
      </c>
      <c r="D40" s="21">
        <v>349</v>
      </c>
      <c r="E40" s="6">
        <v>56.351039260969984</v>
      </c>
      <c r="F40" s="6">
        <v>310</v>
      </c>
      <c r="G40" s="6">
        <v>-0.1117478510028653</v>
      </c>
      <c r="H40" s="6">
        <v>-1.273147819780216</v>
      </c>
      <c r="I40" s="6">
        <v>-1.0463277344306281</v>
      </c>
      <c r="J40" s="6" t="s">
        <v>363</v>
      </c>
      <c r="K40" s="6" t="s">
        <v>364</v>
      </c>
      <c r="L40" s="6"/>
      <c r="M40" s="6">
        <v>64.36818799541318</v>
      </c>
      <c r="N40" s="6">
        <v>15.452500000000001</v>
      </c>
      <c r="O40" s="6" t="s">
        <v>365</v>
      </c>
      <c r="P40" s="6">
        <v>18795.74826789838</v>
      </c>
      <c r="Q40" s="6">
        <v>18959.488853578969</v>
      </c>
      <c r="R40" s="6">
        <v>163.74058568058169</v>
      </c>
      <c r="S40" s="6" t="s">
        <v>366</v>
      </c>
    </row>
    <row r="41" spans="1:19" x14ac:dyDescent="0.2">
      <c r="A41" s="6"/>
      <c r="B41" s="6"/>
      <c r="C41" s="6"/>
      <c r="D41" s="21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x14ac:dyDescent="0.2">
      <c r="A42" s="6" t="s">
        <v>374</v>
      </c>
      <c r="B42" s="6"/>
      <c r="C42" s="6"/>
      <c r="D42" s="21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1152953</v>
      </c>
      <c r="R42" s="6"/>
      <c r="S42" s="6"/>
    </row>
    <row r="43" spans="1:19" x14ac:dyDescent="0.2">
      <c r="A43" s="6" t="s">
        <v>375</v>
      </c>
      <c r="B43" s="6"/>
      <c r="C43" s="6"/>
      <c r="D43" s="21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5291654.26</v>
      </c>
      <c r="Q43" s="6">
        <v>6301975.3880000003</v>
      </c>
      <c r="R43" s="6">
        <v>0.19092727479999999</v>
      </c>
      <c r="S43" s="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4" width="14" customWidth="1"/>
    <col min="5" max="5" width="8" customWidth="1"/>
    <col min="6" max="7" width="16" customWidth="1"/>
    <col min="8" max="8" width="12" customWidth="1"/>
    <col min="9" max="9" width="14" customWidth="1"/>
    <col min="10" max="10" width="8" customWidth="1"/>
    <col min="11" max="11" width="14" customWidth="1"/>
    <col min="12" max="14" width="10" customWidth="1"/>
  </cols>
  <sheetData>
    <row r="1" spans="1:14" ht="17" x14ac:dyDescent="0.2">
      <c r="A1" s="11" t="s">
        <v>376</v>
      </c>
    </row>
    <row r="2" spans="1:14" ht="356" x14ac:dyDescent="0.2">
      <c r="A2" s="2" t="s">
        <v>377</v>
      </c>
    </row>
    <row r="4" spans="1:14" x14ac:dyDescent="0.2">
      <c r="A4" s="8" t="s">
        <v>378</v>
      </c>
      <c r="B4" s="8" t="s">
        <v>158</v>
      </c>
      <c r="C4" s="8" t="s">
        <v>159</v>
      </c>
      <c r="D4" s="8" t="s">
        <v>160</v>
      </c>
      <c r="E4" s="8" t="s">
        <v>161</v>
      </c>
      <c r="F4" s="8" t="s">
        <v>163</v>
      </c>
      <c r="G4" s="8" t="s">
        <v>164</v>
      </c>
      <c r="H4" s="8" t="s">
        <v>379</v>
      </c>
      <c r="I4" s="8" t="s">
        <v>380</v>
      </c>
      <c r="J4" s="8" t="s">
        <v>269</v>
      </c>
      <c r="K4" s="8" t="s">
        <v>381</v>
      </c>
      <c r="L4" s="8" t="s">
        <v>382</v>
      </c>
      <c r="M4" s="8" t="s">
        <v>383</v>
      </c>
      <c r="N4" s="8" t="s">
        <v>384</v>
      </c>
    </row>
    <row r="5" spans="1:14" x14ac:dyDescent="0.2">
      <c r="A5" s="6" t="s">
        <v>385</v>
      </c>
      <c r="B5" s="6">
        <v>3832</v>
      </c>
      <c r="C5" s="7">
        <v>6603329</v>
      </c>
      <c r="D5" s="7">
        <v>4461472.068</v>
      </c>
      <c r="E5" s="9">
        <v>0.67563982772931652</v>
      </c>
      <c r="F5" s="9">
        <v>0.63100208768267219</v>
      </c>
      <c r="G5" s="10">
        <v>17.681459277367608</v>
      </c>
      <c r="H5" s="6">
        <v>1353</v>
      </c>
      <c r="I5" s="6">
        <v>2479</v>
      </c>
      <c r="J5" s="9">
        <v>0.35307933194154489</v>
      </c>
      <c r="K5" s="6">
        <v>1393</v>
      </c>
      <c r="L5" s="6">
        <v>1608</v>
      </c>
      <c r="M5" s="6">
        <v>1677</v>
      </c>
      <c r="N5" s="6">
        <v>547</v>
      </c>
    </row>
    <row r="6" spans="1:14" x14ac:dyDescent="0.2">
      <c r="A6" s="6" t="s">
        <v>386</v>
      </c>
      <c r="B6" s="6">
        <v>3066</v>
      </c>
      <c r="C6" s="7">
        <v>5164417</v>
      </c>
      <c r="D6" s="7">
        <v>3545917.1239999998</v>
      </c>
      <c r="E6" s="9">
        <v>0.68660550145350385</v>
      </c>
      <c r="F6" s="9">
        <v>0.61121983039791261</v>
      </c>
      <c r="G6" s="10">
        <v>17.223827236709351</v>
      </c>
      <c r="H6" s="6">
        <v>1092</v>
      </c>
      <c r="I6" s="6">
        <v>1974</v>
      </c>
      <c r="J6" s="9">
        <v>0.35616438356164382</v>
      </c>
      <c r="K6" s="6">
        <v>1101</v>
      </c>
      <c r="L6" s="6">
        <v>1288</v>
      </c>
      <c r="M6" s="6">
        <v>1262</v>
      </c>
      <c r="N6" s="6">
        <v>516</v>
      </c>
    </row>
    <row r="7" spans="1:14" x14ac:dyDescent="0.2">
      <c r="A7" s="6" t="s">
        <v>387</v>
      </c>
      <c r="B7" s="6">
        <v>3247</v>
      </c>
      <c r="C7" s="7">
        <v>5678940</v>
      </c>
      <c r="D7" s="7">
        <v>3827524.2420000001</v>
      </c>
      <c r="E7" s="9">
        <v>0.67398568077845511</v>
      </c>
      <c r="F7" s="9">
        <v>0.59501077918078227</v>
      </c>
      <c r="G7" s="10">
        <v>16.966327893810881</v>
      </c>
      <c r="H7" s="6">
        <v>1112</v>
      </c>
      <c r="I7" s="6">
        <v>2135</v>
      </c>
      <c r="J7" s="9">
        <v>0.34246997228210652</v>
      </c>
      <c r="K7" s="6">
        <v>1224</v>
      </c>
      <c r="L7" s="6">
        <v>1304</v>
      </c>
      <c r="M7" s="6">
        <v>1452</v>
      </c>
      <c r="N7" s="6">
        <v>491</v>
      </c>
    </row>
    <row r="8" spans="1:14" x14ac:dyDescent="0.2">
      <c r="A8" s="6" t="s">
        <v>388</v>
      </c>
      <c r="B8" s="6">
        <v>3177</v>
      </c>
      <c r="C8" s="7">
        <v>5187452</v>
      </c>
      <c r="D8" s="7">
        <v>3558234.1740000001</v>
      </c>
      <c r="E8" s="9">
        <v>0.68593100697606457</v>
      </c>
      <c r="F8" s="9">
        <v>0.58073654390934848</v>
      </c>
      <c r="G8" s="10">
        <v>16.753397885029919</v>
      </c>
      <c r="H8" s="6">
        <v>1082</v>
      </c>
      <c r="I8" s="6">
        <v>2095</v>
      </c>
      <c r="J8" s="9">
        <v>0.34057286748504878</v>
      </c>
      <c r="K8" s="6">
        <v>1189</v>
      </c>
      <c r="L8" s="6">
        <v>1306</v>
      </c>
      <c r="M8" s="6">
        <v>1346</v>
      </c>
      <c r="N8" s="6">
        <v>525</v>
      </c>
    </row>
    <row r="9" spans="1:14" x14ac:dyDescent="0.2">
      <c r="A9" s="6" t="s">
        <v>389</v>
      </c>
      <c r="B9" s="6">
        <v>3259</v>
      </c>
      <c r="C9" s="7">
        <v>5410771</v>
      </c>
      <c r="D9" s="7">
        <v>3652776.6639999999</v>
      </c>
      <c r="E9" s="9">
        <v>0.67509356134273657</v>
      </c>
      <c r="F9" s="9">
        <v>0.6115372813746548</v>
      </c>
      <c r="G9" s="10">
        <v>17.3180161811649</v>
      </c>
      <c r="H9" s="6">
        <v>1090</v>
      </c>
      <c r="I9" s="6">
        <v>2169</v>
      </c>
      <c r="J9" s="9">
        <v>0.33445842282908861</v>
      </c>
      <c r="K9" s="6">
        <v>1255</v>
      </c>
      <c r="L9" s="6">
        <v>1382</v>
      </c>
      <c r="M9" s="6">
        <v>1378</v>
      </c>
      <c r="N9" s="6">
        <v>499</v>
      </c>
    </row>
    <row r="10" spans="1:14" x14ac:dyDescent="0.2">
      <c r="A10" s="6" t="s">
        <v>390</v>
      </c>
      <c r="B10" s="6">
        <v>3136</v>
      </c>
      <c r="C10" s="7">
        <v>5081903</v>
      </c>
      <c r="D10" s="7">
        <v>3481700.0219999999</v>
      </c>
      <c r="E10" s="9">
        <v>0.68511737079594004</v>
      </c>
      <c r="F10" s="9">
        <v>0.59502551020408168</v>
      </c>
      <c r="G10" s="10">
        <v>17.048750951448131</v>
      </c>
      <c r="H10" s="6">
        <v>1031</v>
      </c>
      <c r="I10" s="6">
        <v>2105</v>
      </c>
      <c r="J10" s="9">
        <v>0.32876275510204078</v>
      </c>
      <c r="K10" s="6">
        <v>1209</v>
      </c>
      <c r="L10" s="6">
        <v>1360</v>
      </c>
      <c r="M10" s="6">
        <v>1316</v>
      </c>
      <c r="N10" s="6">
        <v>460</v>
      </c>
    </row>
    <row r="11" spans="1:14" x14ac:dyDescent="0.2">
      <c r="A11" s="6" t="s">
        <v>391</v>
      </c>
      <c r="B11" s="6">
        <v>3037</v>
      </c>
      <c r="C11" s="7">
        <v>5135700</v>
      </c>
      <c r="D11" s="7">
        <v>3473987.4840000002</v>
      </c>
      <c r="E11" s="9">
        <v>0.67643894386354342</v>
      </c>
      <c r="F11" s="9">
        <v>0.61310503786631543</v>
      </c>
      <c r="G11" s="10">
        <v>17.105040128630979</v>
      </c>
      <c r="H11" s="6">
        <v>1051</v>
      </c>
      <c r="I11" s="6">
        <v>1986</v>
      </c>
      <c r="J11" s="9">
        <v>0.34606519591702339</v>
      </c>
      <c r="K11" s="6">
        <v>1141</v>
      </c>
      <c r="L11" s="6">
        <v>1266</v>
      </c>
      <c r="M11" s="6">
        <v>1312</v>
      </c>
      <c r="N11" s="6">
        <v>459</v>
      </c>
    </row>
    <row r="12" spans="1:14" x14ac:dyDescent="0.2">
      <c r="A12" s="6" t="s">
        <v>392</v>
      </c>
      <c r="B12" s="6">
        <v>3883</v>
      </c>
      <c r="C12" s="7">
        <v>6558757</v>
      </c>
      <c r="D12" s="7">
        <v>4379312.1679999996</v>
      </c>
      <c r="E12" s="9">
        <v>0.66770459219635669</v>
      </c>
      <c r="F12" s="9">
        <v>0.61550347669327843</v>
      </c>
      <c r="G12" s="10">
        <v>16.943327702114519</v>
      </c>
      <c r="H12" s="6">
        <v>1353</v>
      </c>
      <c r="I12" s="6">
        <v>2530</v>
      </c>
      <c r="J12" s="9">
        <v>0.348441926345609</v>
      </c>
      <c r="K12" s="6">
        <v>1435</v>
      </c>
      <c r="L12" s="6">
        <v>1589</v>
      </c>
      <c r="M12" s="6">
        <v>1742</v>
      </c>
      <c r="N12" s="6">
        <v>552</v>
      </c>
    </row>
    <row r="13" spans="1:14" x14ac:dyDescent="0.2">
      <c r="A13" s="6" t="s">
        <v>393</v>
      </c>
      <c r="B13" s="6">
        <v>3219</v>
      </c>
      <c r="C13" s="7">
        <v>5241066</v>
      </c>
      <c r="D13" s="7">
        <v>3562263.6393210799</v>
      </c>
      <c r="E13" s="9">
        <v>0.67968303381813544</v>
      </c>
      <c r="F13" s="9">
        <v>0.59614787200994102</v>
      </c>
      <c r="G13" s="10">
        <v>16.785781548594791</v>
      </c>
      <c r="H13" s="6">
        <v>1103</v>
      </c>
      <c r="I13" s="6">
        <v>2116</v>
      </c>
      <c r="J13" s="9">
        <v>0.34265299782541159</v>
      </c>
      <c r="K13" s="6">
        <v>1169</v>
      </c>
      <c r="L13" s="6">
        <v>1319</v>
      </c>
      <c r="M13" s="6">
        <v>1370</v>
      </c>
      <c r="N13" s="6">
        <v>530</v>
      </c>
    </row>
    <row r="14" spans="1:14" x14ac:dyDescent="0.2">
      <c r="A14" s="6" t="s">
        <v>394</v>
      </c>
      <c r="B14" s="6">
        <v>3269</v>
      </c>
      <c r="C14" s="7">
        <v>5285064</v>
      </c>
      <c r="D14" s="7">
        <v>3665726.2960000001</v>
      </c>
      <c r="E14" s="9">
        <v>0.69360111741314767</v>
      </c>
      <c r="F14" s="9">
        <v>0.5910064239828694</v>
      </c>
      <c r="G14" s="10">
        <v>16.92265035789891</v>
      </c>
      <c r="H14" s="6">
        <v>1083</v>
      </c>
      <c r="I14" s="6">
        <v>2186</v>
      </c>
      <c r="J14" s="9">
        <v>0.3312939736922606</v>
      </c>
      <c r="K14" s="6">
        <v>1242</v>
      </c>
      <c r="L14" s="6">
        <v>1321</v>
      </c>
      <c r="M14" s="6">
        <v>1433</v>
      </c>
      <c r="N14" s="6">
        <v>515</v>
      </c>
    </row>
    <row r="15" spans="1:14" x14ac:dyDescent="0.2">
      <c r="A15" s="6" t="s">
        <v>395</v>
      </c>
      <c r="B15" s="6">
        <v>3113</v>
      </c>
      <c r="C15" s="7">
        <v>5178165</v>
      </c>
      <c r="D15" s="7">
        <v>3639747.426</v>
      </c>
      <c r="E15" s="9">
        <v>0.70290294457592606</v>
      </c>
      <c r="F15" s="9">
        <v>0.59974301317057499</v>
      </c>
      <c r="G15" s="10">
        <v>16.98736079867864</v>
      </c>
      <c r="H15" s="6">
        <v>1076</v>
      </c>
      <c r="I15" s="6">
        <v>2037</v>
      </c>
      <c r="J15" s="9">
        <v>0.34564728557661412</v>
      </c>
      <c r="K15" s="6">
        <v>1130</v>
      </c>
      <c r="L15" s="6">
        <v>1200</v>
      </c>
      <c r="M15" s="6">
        <v>1437</v>
      </c>
      <c r="N15" s="6">
        <v>476</v>
      </c>
    </row>
    <row r="16" spans="1:14" x14ac:dyDescent="0.2">
      <c r="A16" s="6" t="s">
        <v>396</v>
      </c>
      <c r="B16" s="6">
        <v>3287</v>
      </c>
      <c r="C16" s="7">
        <v>5363249</v>
      </c>
      <c r="D16" s="7">
        <v>3760658.4647465632</v>
      </c>
      <c r="E16" s="9">
        <v>0.70119035397136387</v>
      </c>
      <c r="F16" s="9">
        <v>0.61484636446607854</v>
      </c>
      <c r="G16" s="10">
        <v>17.682334570887871</v>
      </c>
      <c r="H16" s="6">
        <v>1066</v>
      </c>
      <c r="I16" s="6">
        <v>2221</v>
      </c>
      <c r="J16" s="9">
        <v>0.32430787952540308</v>
      </c>
      <c r="K16" s="6">
        <v>1258</v>
      </c>
      <c r="L16" s="6">
        <v>1350</v>
      </c>
      <c r="M16" s="6">
        <v>1459</v>
      </c>
      <c r="N16" s="6">
        <v>478</v>
      </c>
    </row>
    <row r="17" spans="1:14" x14ac:dyDescent="0.2">
      <c r="A17" s="6" t="s">
        <v>397</v>
      </c>
      <c r="B17" s="6">
        <v>3104</v>
      </c>
      <c r="C17" s="7">
        <v>5080505</v>
      </c>
      <c r="D17" s="7">
        <v>3570403.6140000001</v>
      </c>
      <c r="E17" s="9">
        <v>0.70276549555605206</v>
      </c>
      <c r="F17" s="9">
        <v>0.62564432989690721</v>
      </c>
      <c r="G17" s="10">
        <v>17.777549474928801</v>
      </c>
      <c r="H17" s="6">
        <v>1060</v>
      </c>
      <c r="I17" s="6">
        <v>2044</v>
      </c>
      <c r="J17" s="9">
        <v>0.34149484536082469</v>
      </c>
      <c r="K17" s="6">
        <v>1137</v>
      </c>
      <c r="L17" s="6">
        <v>1298</v>
      </c>
      <c r="M17" s="6">
        <v>1351</v>
      </c>
      <c r="N17" s="6">
        <v>455</v>
      </c>
    </row>
    <row r="18" spans="1:14" x14ac:dyDescent="0.2">
      <c r="A18" s="6" t="s">
        <v>398</v>
      </c>
      <c r="B18" s="6">
        <v>3000</v>
      </c>
      <c r="C18" s="7">
        <v>4842187</v>
      </c>
      <c r="D18" s="7">
        <v>3375791.6660000002</v>
      </c>
      <c r="E18" s="9">
        <v>0.69716259739658959</v>
      </c>
      <c r="F18" s="9">
        <v>0.63533333333333331</v>
      </c>
      <c r="G18" s="10">
        <v>18.060281389926288</v>
      </c>
      <c r="H18" s="6">
        <v>987</v>
      </c>
      <c r="I18" s="6">
        <v>2013</v>
      </c>
      <c r="J18" s="9">
        <v>0.32900000000000001</v>
      </c>
      <c r="K18" s="6">
        <v>1093</v>
      </c>
      <c r="L18" s="6">
        <v>1258</v>
      </c>
      <c r="M18" s="6">
        <v>1306</v>
      </c>
      <c r="N18" s="6">
        <v>436</v>
      </c>
    </row>
    <row r="19" spans="1:14" x14ac:dyDescent="0.2">
      <c r="A19" s="6" t="s">
        <v>399</v>
      </c>
      <c r="B19" s="6">
        <v>3327</v>
      </c>
      <c r="C19" s="7">
        <v>5680191</v>
      </c>
      <c r="D19" s="7">
        <v>3943831.53</v>
      </c>
      <c r="E19" s="9">
        <v>0.69431318946845266</v>
      </c>
      <c r="F19" s="9">
        <v>0.6558461076044485</v>
      </c>
      <c r="G19" s="10">
        <v>18.156735643686211</v>
      </c>
      <c r="H19" s="6">
        <v>1167</v>
      </c>
      <c r="I19" s="6">
        <v>2160</v>
      </c>
      <c r="J19" s="9">
        <v>0.35076645626690711</v>
      </c>
      <c r="K19" s="6">
        <v>1168</v>
      </c>
      <c r="L19" s="6">
        <v>1477</v>
      </c>
      <c r="M19" s="6">
        <v>1424</v>
      </c>
      <c r="N19" s="6">
        <v>426</v>
      </c>
    </row>
    <row r="20" spans="1:14" x14ac:dyDescent="0.2">
      <c r="A20" s="6" t="s">
        <v>400</v>
      </c>
      <c r="B20" s="6">
        <v>2745</v>
      </c>
      <c r="C20" s="7">
        <v>4490036</v>
      </c>
      <c r="D20" s="7">
        <v>3159203.7954132301</v>
      </c>
      <c r="E20" s="9">
        <v>0.70360322175885226</v>
      </c>
      <c r="F20" s="9">
        <v>0.59635701275045538</v>
      </c>
      <c r="G20" s="10">
        <v>16.612450362533011</v>
      </c>
      <c r="H20" s="6">
        <v>922</v>
      </c>
      <c r="I20" s="6">
        <v>1823</v>
      </c>
      <c r="J20" s="9">
        <v>0.3358834244080145</v>
      </c>
      <c r="K20" s="6">
        <v>1036</v>
      </c>
      <c r="L20" s="6">
        <v>1062</v>
      </c>
      <c r="M20" s="6">
        <v>1196</v>
      </c>
      <c r="N20" s="6">
        <v>487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66"/>
  <sheetViews>
    <sheetView workbookViewId="0">
      <selection sqref="A1:XFD1"/>
    </sheetView>
  </sheetViews>
  <sheetFormatPr baseColWidth="10" defaultColWidth="8.83203125" defaultRowHeight="15" x14ac:dyDescent="0.2"/>
  <cols>
    <col min="1" max="1" width="16" customWidth="1"/>
    <col min="2" max="2" width="32" customWidth="1"/>
    <col min="3" max="15" width="16" customWidth="1"/>
  </cols>
  <sheetData>
    <row r="1" spans="1:15" x14ac:dyDescent="0.2">
      <c r="A1" s="20" t="s">
        <v>278</v>
      </c>
      <c r="B1" s="20" t="s">
        <v>279</v>
      </c>
      <c r="C1" s="20" t="s">
        <v>188</v>
      </c>
      <c r="D1" s="20" t="s">
        <v>347</v>
      </c>
      <c r="E1" s="20" t="s">
        <v>401</v>
      </c>
      <c r="F1" s="20" t="s">
        <v>402</v>
      </c>
      <c r="G1" s="20" t="s">
        <v>403</v>
      </c>
      <c r="H1" s="20" t="s">
        <v>404</v>
      </c>
      <c r="I1" s="20" t="s">
        <v>405</v>
      </c>
      <c r="J1" s="20" t="s">
        <v>350</v>
      </c>
      <c r="K1" s="20" t="s">
        <v>353</v>
      </c>
      <c r="L1" s="20" t="s">
        <v>352</v>
      </c>
      <c r="M1" s="20" t="s">
        <v>356</v>
      </c>
      <c r="N1" s="20" t="s">
        <v>357</v>
      </c>
      <c r="O1" s="20" t="s">
        <v>406</v>
      </c>
    </row>
    <row r="2" spans="1:15" x14ac:dyDescent="0.2">
      <c r="A2" s="20" t="s">
        <v>407</v>
      </c>
      <c r="B2" s="20" t="s">
        <v>408</v>
      </c>
      <c r="C2" s="20" t="s">
        <v>362</v>
      </c>
      <c r="D2" s="20">
        <v>310</v>
      </c>
      <c r="E2" s="20">
        <v>18</v>
      </c>
      <c r="F2" s="20">
        <v>4.1570438799076213</v>
      </c>
      <c r="G2" s="20" t="s">
        <v>409</v>
      </c>
      <c r="H2" s="20">
        <v>1</v>
      </c>
      <c r="I2" s="20">
        <v>-1.899336733973277</v>
      </c>
      <c r="J2" s="20">
        <v>-1.899336733973277</v>
      </c>
      <c r="K2" s="20" t="s">
        <v>369</v>
      </c>
      <c r="L2" s="20" t="s">
        <v>370</v>
      </c>
      <c r="M2" s="20">
        <v>93</v>
      </c>
      <c r="N2" s="20" t="s">
        <v>373</v>
      </c>
      <c r="O2" s="20"/>
    </row>
    <row r="3" spans="1:15" x14ac:dyDescent="0.2">
      <c r="A3" s="20" t="s">
        <v>410</v>
      </c>
      <c r="B3" s="20" t="s">
        <v>411</v>
      </c>
      <c r="C3" s="20" t="s">
        <v>362</v>
      </c>
      <c r="D3" s="20">
        <v>310</v>
      </c>
      <c r="E3" s="20">
        <v>30</v>
      </c>
      <c r="F3" s="20">
        <v>6.9284064665127021</v>
      </c>
      <c r="G3" s="20" t="s">
        <v>409</v>
      </c>
      <c r="H3" s="20">
        <v>1</v>
      </c>
      <c r="I3" s="20">
        <v>-1.3145387745991519</v>
      </c>
      <c r="J3" s="20">
        <v>-1.3145387745991519</v>
      </c>
      <c r="K3" s="20" t="s">
        <v>369</v>
      </c>
      <c r="L3" s="20" t="s">
        <v>370</v>
      </c>
      <c r="M3" s="20">
        <v>93</v>
      </c>
      <c r="N3" s="20" t="s">
        <v>373</v>
      </c>
      <c r="O3" s="20"/>
    </row>
    <row r="4" spans="1:15" x14ac:dyDescent="0.2">
      <c r="A4" s="20" t="s">
        <v>412</v>
      </c>
      <c r="B4" s="20" t="s">
        <v>413</v>
      </c>
      <c r="C4" s="20" t="s">
        <v>362</v>
      </c>
      <c r="D4" s="20"/>
      <c r="E4" s="20"/>
      <c r="F4" s="20"/>
      <c r="G4" s="20"/>
      <c r="H4" s="20"/>
      <c r="I4" s="20"/>
      <c r="J4" s="20">
        <v>-1.384113661892663</v>
      </c>
      <c r="K4" s="20" t="s">
        <v>414</v>
      </c>
      <c r="L4" s="20" t="s">
        <v>363</v>
      </c>
      <c r="M4" s="20"/>
      <c r="N4" s="20" t="s">
        <v>373</v>
      </c>
      <c r="O4" s="20"/>
    </row>
    <row r="5" spans="1:15" x14ac:dyDescent="0.2">
      <c r="A5" s="20" t="s">
        <v>415</v>
      </c>
      <c r="B5" s="20" t="s">
        <v>416</v>
      </c>
      <c r="C5" s="20" t="s">
        <v>362</v>
      </c>
      <c r="D5" s="20">
        <v>310</v>
      </c>
      <c r="E5" s="20">
        <v>165</v>
      </c>
      <c r="F5" s="20">
        <v>38.106235565819858</v>
      </c>
      <c r="G5" s="20" t="s">
        <v>409</v>
      </c>
      <c r="H5" s="20">
        <v>1</v>
      </c>
      <c r="I5" s="20">
        <v>-1.8378240512615081</v>
      </c>
      <c r="J5" s="20">
        <v>-1.8378240512615081</v>
      </c>
      <c r="K5" s="20" t="s">
        <v>369</v>
      </c>
      <c r="L5" s="20" t="s">
        <v>370</v>
      </c>
      <c r="M5" s="20">
        <v>93</v>
      </c>
      <c r="N5" s="20" t="s">
        <v>373</v>
      </c>
      <c r="O5" s="20"/>
    </row>
    <row r="6" spans="1:15" x14ac:dyDescent="0.2">
      <c r="A6" s="20" t="s">
        <v>140</v>
      </c>
      <c r="B6" s="20" t="s">
        <v>141</v>
      </c>
      <c r="C6" s="20" t="s">
        <v>362</v>
      </c>
      <c r="D6" s="20">
        <v>375</v>
      </c>
      <c r="E6" s="20">
        <v>230</v>
      </c>
      <c r="F6" s="20">
        <v>53.117782909930717</v>
      </c>
      <c r="G6" s="20" t="s">
        <v>409</v>
      </c>
      <c r="H6" s="20">
        <v>1</v>
      </c>
      <c r="I6" s="20">
        <v>-0.77725328634684787</v>
      </c>
      <c r="J6" s="20">
        <v>-0.77725328634684787</v>
      </c>
      <c r="K6" s="20" t="s">
        <v>369</v>
      </c>
      <c r="L6" s="20" t="s">
        <v>370</v>
      </c>
      <c r="M6" s="20">
        <v>112.5</v>
      </c>
      <c r="N6" s="20" t="s">
        <v>373</v>
      </c>
      <c r="O6" s="20"/>
    </row>
    <row r="7" spans="1:15" x14ac:dyDescent="0.2">
      <c r="A7" s="20" t="s">
        <v>417</v>
      </c>
      <c r="B7" s="20" t="s">
        <v>418</v>
      </c>
      <c r="C7" s="20" t="s">
        <v>362</v>
      </c>
      <c r="D7" s="20">
        <v>375</v>
      </c>
      <c r="E7" s="20">
        <v>265</v>
      </c>
      <c r="F7" s="20">
        <v>61.200923787528858</v>
      </c>
      <c r="G7" s="20" t="s">
        <v>409</v>
      </c>
      <c r="H7" s="20">
        <v>1</v>
      </c>
      <c r="I7" s="20">
        <v>1.8846635011928681</v>
      </c>
      <c r="J7" s="20">
        <v>1.8846635011928681</v>
      </c>
      <c r="K7" s="20" t="s">
        <v>369</v>
      </c>
      <c r="L7" s="20" t="s">
        <v>370</v>
      </c>
      <c r="M7" s="20">
        <v>112.5</v>
      </c>
      <c r="N7" s="20" t="s">
        <v>373</v>
      </c>
      <c r="O7" s="20"/>
    </row>
    <row r="8" spans="1:15" x14ac:dyDescent="0.2">
      <c r="A8" s="20" t="s">
        <v>419</v>
      </c>
      <c r="B8" s="20" t="s">
        <v>420</v>
      </c>
      <c r="C8" s="20" t="s">
        <v>362</v>
      </c>
      <c r="D8" s="20">
        <v>435</v>
      </c>
      <c r="E8" s="20">
        <v>30</v>
      </c>
      <c r="F8" s="20">
        <v>6.9284064665127021</v>
      </c>
      <c r="G8" s="20" t="s">
        <v>409</v>
      </c>
      <c r="H8" s="20">
        <v>1</v>
      </c>
      <c r="I8" s="20">
        <v>-2.646739287717212</v>
      </c>
      <c r="J8" s="20">
        <v>-2.646739287717212</v>
      </c>
      <c r="K8" s="20" t="s">
        <v>369</v>
      </c>
      <c r="L8" s="20" t="s">
        <v>370</v>
      </c>
      <c r="M8" s="20">
        <v>130.5</v>
      </c>
      <c r="N8" s="20" t="s">
        <v>373</v>
      </c>
      <c r="O8" s="20"/>
    </row>
    <row r="9" spans="1:15" x14ac:dyDescent="0.2">
      <c r="A9" s="20" t="s">
        <v>421</v>
      </c>
      <c r="B9" s="20" t="s">
        <v>422</v>
      </c>
      <c r="C9" s="20" t="s">
        <v>362</v>
      </c>
      <c r="D9" s="20">
        <v>375</v>
      </c>
      <c r="E9" s="20">
        <v>49</v>
      </c>
      <c r="F9" s="20">
        <v>11.31639722863741</v>
      </c>
      <c r="G9" s="20" t="s">
        <v>409</v>
      </c>
      <c r="H9" s="20">
        <v>1</v>
      </c>
      <c r="I9" s="20">
        <v>-1.600987415872523</v>
      </c>
      <c r="J9" s="20">
        <v>-1.600987415872523</v>
      </c>
      <c r="K9" s="20" t="s">
        <v>369</v>
      </c>
      <c r="L9" s="20" t="s">
        <v>370</v>
      </c>
      <c r="M9" s="20">
        <v>112.5</v>
      </c>
      <c r="N9" s="20" t="s">
        <v>373</v>
      </c>
      <c r="O9" s="20"/>
    </row>
    <row r="10" spans="1:15" x14ac:dyDescent="0.2">
      <c r="A10" s="20" t="s">
        <v>423</v>
      </c>
      <c r="B10" s="20" t="s">
        <v>424</v>
      </c>
      <c r="C10" s="20" t="s">
        <v>362</v>
      </c>
      <c r="D10" s="20"/>
      <c r="E10" s="20"/>
      <c r="F10" s="20"/>
      <c r="G10" s="20"/>
      <c r="H10" s="20">
        <v>1</v>
      </c>
      <c r="I10" s="20">
        <v>-1.622213449442661</v>
      </c>
      <c r="J10" s="20">
        <v>-1.622213449442661</v>
      </c>
      <c r="K10" s="20" t="s">
        <v>369</v>
      </c>
      <c r="L10" s="20" t="s">
        <v>370</v>
      </c>
      <c r="M10" s="20"/>
      <c r="N10" s="20" t="s">
        <v>373</v>
      </c>
      <c r="O10" s="20"/>
    </row>
    <row r="11" spans="1:15" x14ac:dyDescent="0.2">
      <c r="A11" s="20" t="s">
        <v>425</v>
      </c>
      <c r="B11" s="20" t="s">
        <v>426</v>
      </c>
      <c r="C11" s="20" t="s">
        <v>362</v>
      </c>
      <c r="D11" s="20">
        <v>435</v>
      </c>
      <c r="E11" s="20">
        <v>25</v>
      </c>
      <c r="F11" s="20">
        <v>5.7736720554272516</v>
      </c>
      <c r="G11" s="20" t="s">
        <v>409</v>
      </c>
      <c r="H11" s="20">
        <v>1</v>
      </c>
      <c r="I11" s="20">
        <v>1.3860368750734859</v>
      </c>
      <c r="J11" s="20">
        <v>1.3860368750734859</v>
      </c>
      <c r="K11" s="20" t="s">
        <v>369</v>
      </c>
      <c r="L11" s="20" t="s">
        <v>370</v>
      </c>
      <c r="M11" s="20">
        <v>130.5</v>
      </c>
      <c r="N11" s="20" t="s">
        <v>373</v>
      </c>
      <c r="O11" s="20"/>
    </row>
    <row r="12" spans="1:15" x14ac:dyDescent="0.2">
      <c r="A12" s="20" t="s">
        <v>427</v>
      </c>
      <c r="B12" s="20" t="s">
        <v>428</v>
      </c>
      <c r="C12" s="20" t="s">
        <v>362</v>
      </c>
      <c r="D12" s="20">
        <v>310</v>
      </c>
      <c r="E12" s="20">
        <v>19</v>
      </c>
      <c r="F12" s="20">
        <v>4.3879907621247112</v>
      </c>
      <c r="G12" s="20" t="s">
        <v>409</v>
      </c>
      <c r="H12" s="20">
        <v>1</v>
      </c>
      <c r="I12" s="20">
        <v>1.526095371744105</v>
      </c>
      <c r="J12" s="20">
        <v>1.526095371744105</v>
      </c>
      <c r="K12" s="20" t="s">
        <v>369</v>
      </c>
      <c r="L12" s="20" t="s">
        <v>370</v>
      </c>
      <c r="M12" s="20">
        <v>93</v>
      </c>
      <c r="N12" s="20" t="s">
        <v>373</v>
      </c>
      <c r="O12" s="20"/>
    </row>
    <row r="13" spans="1:15" x14ac:dyDescent="0.2">
      <c r="A13" s="20" t="s">
        <v>429</v>
      </c>
      <c r="B13" s="20" t="s">
        <v>430</v>
      </c>
      <c r="C13" s="20" t="s">
        <v>362</v>
      </c>
      <c r="D13" s="20"/>
      <c r="E13" s="20"/>
      <c r="F13" s="20"/>
      <c r="G13" s="20"/>
      <c r="H13" s="20"/>
      <c r="I13" s="20"/>
      <c r="J13" s="20">
        <v>-1.384113661892663</v>
      </c>
      <c r="K13" s="20" t="s">
        <v>414</v>
      </c>
      <c r="L13" s="20" t="s">
        <v>363</v>
      </c>
      <c r="M13" s="20"/>
      <c r="N13" s="20" t="s">
        <v>373</v>
      </c>
      <c r="O13" s="20"/>
    </row>
    <row r="14" spans="1:15" x14ac:dyDescent="0.2">
      <c r="A14" s="20" t="s">
        <v>431</v>
      </c>
      <c r="B14" s="20" t="s">
        <v>432</v>
      </c>
      <c r="C14" s="20" t="s">
        <v>362</v>
      </c>
      <c r="D14" s="20">
        <v>375</v>
      </c>
      <c r="E14" s="20">
        <v>98</v>
      </c>
      <c r="F14" s="20">
        <v>22.63279445727483</v>
      </c>
      <c r="G14" s="20" t="s">
        <v>409</v>
      </c>
      <c r="H14" s="20">
        <v>1</v>
      </c>
      <c r="I14" s="20">
        <v>-1.4913245964367019</v>
      </c>
      <c r="J14" s="20">
        <v>-1.4913245964367019</v>
      </c>
      <c r="K14" s="20" t="s">
        <v>369</v>
      </c>
      <c r="L14" s="20" t="s">
        <v>370</v>
      </c>
      <c r="M14" s="20">
        <v>112.5</v>
      </c>
      <c r="N14" s="20" t="s">
        <v>373</v>
      </c>
      <c r="O14" s="20"/>
    </row>
    <row r="15" spans="1:15" x14ac:dyDescent="0.2">
      <c r="A15" s="20" t="s">
        <v>433</v>
      </c>
      <c r="B15" s="20" t="s">
        <v>434</v>
      </c>
      <c r="C15" s="20" t="s">
        <v>362</v>
      </c>
      <c r="D15" s="20">
        <v>500</v>
      </c>
      <c r="E15" s="20">
        <v>15</v>
      </c>
      <c r="F15" s="20">
        <v>3.464203233256351</v>
      </c>
      <c r="G15" s="20" t="s">
        <v>409</v>
      </c>
      <c r="H15" s="20">
        <v>1</v>
      </c>
      <c r="I15" s="20">
        <v>-2.256415079415746</v>
      </c>
      <c r="J15" s="20">
        <v>-2.256415079415746</v>
      </c>
      <c r="K15" s="20" t="s">
        <v>369</v>
      </c>
      <c r="L15" s="20" t="s">
        <v>370</v>
      </c>
      <c r="M15" s="20">
        <v>150</v>
      </c>
      <c r="N15" s="20" t="s">
        <v>373</v>
      </c>
      <c r="O15" s="20"/>
    </row>
    <row r="16" spans="1:15" x14ac:dyDescent="0.2">
      <c r="A16" s="20" t="s">
        <v>435</v>
      </c>
      <c r="B16" s="20" t="s">
        <v>436</v>
      </c>
      <c r="C16" s="20" t="s">
        <v>362</v>
      </c>
      <c r="D16" s="20">
        <v>399</v>
      </c>
      <c r="E16" s="20">
        <v>99</v>
      </c>
      <c r="F16" s="20">
        <v>22.86374133949192</v>
      </c>
      <c r="G16" s="20" t="s">
        <v>409</v>
      </c>
      <c r="H16" s="20"/>
      <c r="I16" s="20"/>
      <c r="J16" s="20">
        <v>-0.79078567053692428</v>
      </c>
      <c r="K16" s="20" t="s">
        <v>364</v>
      </c>
      <c r="L16" s="20" t="s">
        <v>363</v>
      </c>
      <c r="M16" s="20">
        <v>119.7</v>
      </c>
      <c r="N16" s="20" t="s">
        <v>373</v>
      </c>
      <c r="O16" s="20"/>
    </row>
    <row r="17" spans="1:15" x14ac:dyDescent="0.2">
      <c r="A17" s="20" t="s">
        <v>437</v>
      </c>
      <c r="B17" s="20" t="s">
        <v>438</v>
      </c>
      <c r="C17" s="20" t="s">
        <v>362</v>
      </c>
      <c r="D17" s="20">
        <v>249</v>
      </c>
      <c r="E17" s="20">
        <v>81</v>
      </c>
      <c r="F17" s="20">
        <v>18.706697459584291</v>
      </c>
      <c r="G17" s="20" t="s">
        <v>439</v>
      </c>
      <c r="H17" s="20"/>
      <c r="I17" s="20"/>
      <c r="J17" s="20">
        <v>-1.384113661892663</v>
      </c>
      <c r="K17" s="20" t="s">
        <v>414</v>
      </c>
      <c r="L17" s="20" t="s">
        <v>363</v>
      </c>
      <c r="M17" s="20">
        <v>74.7</v>
      </c>
      <c r="N17" s="20" t="s">
        <v>373</v>
      </c>
      <c r="O17" s="20"/>
    </row>
    <row r="18" spans="1:15" x14ac:dyDescent="0.2">
      <c r="A18" s="20" t="s">
        <v>440</v>
      </c>
      <c r="B18" s="20" t="s">
        <v>441</v>
      </c>
      <c r="C18" s="20" t="s">
        <v>362</v>
      </c>
      <c r="D18" s="20">
        <v>349</v>
      </c>
      <c r="E18" s="20">
        <v>139</v>
      </c>
      <c r="F18" s="20">
        <v>32.10161662817552</v>
      </c>
      <c r="G18" s="20" t="s">
        <v>409</v>
      </c>
      <c r="H18" s="20"/>
      <c r="I18" s="20"/>
      <c r="J18" s="20">
        <v>-0.79078567053692428</v>
      </c>
      <c r="K18" s="20" t="s">
        <v>364</v>
      </c>
      <c r="L18" s="20" t="s">
        <v>363</v>
      </c>
      <c r="M18" s="20">
        <v>104.7</v>
      </c>
      <c r="N18" s="20" t="s">
        <v>373</v>
      </c>
      <c r="O18" s="20"/>
    </row>
    <row r="19" spans="1:15" x14ac:dyDescent="0.2">
      <c r="A19" s="20" t="s">
        <v>442</v>
      </c>
      <c r="B19" s="20" t="s">
        <v>443</v>
      </c>
      <c r="C19" s="20" t="s">
        <v>362</v>
      </c>
      <c r="D19" s="20">
        <v>399</v>
      </c>
      <c r="E19" s="20">
        <v>26</v>
      </c>
      <c r="F19" s="20">
        <v>6.0046189376443424</v>
      </c>
      <c r="G19" s="20" t="s">
        <v>409</v>
      </c>
      <c r="H19" s="20"/>
      <c r="I19" s="20"/>
      <c r="J19" s="20">
        <v>-0.79078567053692428</v>
      </c>
      <c r="K19" s="20" t="s">
        <v>364</v>
      </c>
      <c r="L19" s="20" t="s">
        <v>363</v>
      </c>
      <c r="M19" s="20">
        <v>119.7</v>
      </c>
      <c r="N19" s="20" t="s">
        <v>373</v>
      </c>
      <c r="O19" s="20"/>
    </row>
    <row r="20" spans="1:15" x14ac:dyDescent="0.2">
      <c r="A20" s="20" t="s">
        <v>444</v>
      </c>
      <c r="B20" s="20" t="s">
        <v>445</v>
      </c>
      <c r="C20" s="20" t="s">
        <v>362</v>
      </c>
      <c r="D20" s="20"/>
      <c r="E20" s="20"/>
      <c r="F20" s="20"/>
      <c r="G20" s="20"/>
      <c r="H20" s="20"/>
      <c r="I20" s="20"/>
      <c r="J20" s="20">
        <v>-1.384113661892663</v>
      </c>
      <c r="K20" s="20" t="s">
        <v>414</v>
      </c>
      <c r="L20" s="20" t="s">
        <v>363</v>
      </c>
      <c r="M20" s="20"/>
      <c r="N20" s="20" t="s">
        <v>373</v>
      </c>
      <c r="O20" s="20"/>
    </row>
    <row r="21" spans="1:15" x14ac:dyDescent="0.2">
      <c r="A21" s="20" t="s">
        <v>446</v>
      </c>
      <c r="B21" s="20" t="s">
        <v>447</v>
      </c>
      <c r="C21" s="20" t="s">
        <v>367</v>
      </c>
      <c r="D21" s="20">
        <v>439</v>
      </c>
      <c r="E21" s="20">
        <v>33</v>
      </c>
      <c r="F21" s="20">
        <v>7.6212471131639719</v>
      </c>
      <c r="G21" s="20" t="s">
        <v>409</v>
      </c>
      <c r="H21" s="20">
        <v>1</v>
      </c>
      <c r="I21" s="20">
        <v>0.2270190415035109</v>
      </c>
      <c r="J21" s="20">
        <v>0.2270190415035109</v>
      </c>
      <c r="K21" s="20" t="s">
        <v>369</v>
      </c>
      <c r="L21" s="20" t="s">
        <v>370</v>
      </c>
      <c r="M21" s="20">
        <v>20.88</v>
      </c>
      <c r="N21" s="20" t="s">
        <v>365</v>
      </c>
      <c r="O21" s="20">
        <v>0.9646401354784081</v>
      </c>
    </row>
    <row r="22" spans="1:15" x14ac:dyDescent="0.2">
      <c r="A22" s="20" t="s">
        <v>448</v>
      </c>
      <c r="B22" s="20" t="s">
        <v>449</v>
      </c>
      <c r="C22" s="20" t="s">
        <v>367</v>
      </c>
      <c r="D22" s="20">
        <v>229</v>
      </c>
      <c r="E22" s="20">
        <v>38</v>
      </c>
      <c r="F22" s="20">
        <v>8.7759815242494223</v>
      </c>
      <c r="G22" s="20" t="s">
        <v>439</v>
      </c>
      <c r="H22" s="20">
        <v>2</v>
      </c>
      <c r="I22" s="20">
        <v>-1.723788616500481</v>
      </c>
      <c r="J22" s="20">
        <v>-1.723788616500481</v>
      </c>
      <c r="K22" s="20" t="s">
        <v>369</v>
      </c>
      <c r="L22" s="20" t="s">
        <v>368</v>
      </c>
      <c r="M22" s="20">
        <v>68.7</v>
      </c>
      <c r="N22" s="20" t="s">
        <v>373</v>
      </c>
      <c r="O22" s="20"/>
    </row>
    <row r="23" spans="1:15" x14ac:dyDescent="0.2">
      <c r="A23" s="20" t="s">
        <v>450</v>
      </c>
      <c r="B23" s="20" t="s">
        <v>451</v>
      </c>
      <c r="C23" s="20" t="s">
        <v>367</v>
      </c>
      <c r="D23" s="20">
        <v>1199</v>
      </c>
      <c r="E23" s="20">
        <v>27</v>
      </c>
      <c r="F23" s="20">
        <v>6.2355658198614314</v>
      </c>
      <c r="G23" s="20" t="s">
        <v>452</v>
      </c>
      <c r="H23" s="20">
        <v>1</v>
      </c>
      <c r="I23" s="20">
        <v>4.0482676721970838</v>
      </c>
      <c r="J23" s="20">
        <v>4.0482676721970838</v>
      </c>
      <c r="K23" s="20" t="s">
        <v>369</v>
      </c>
      <c r="L23" s="20" t="s">
        <v>370</v>
      </c>
      <c r="M23" s="20">
        <v>112.39</v>
      </c>
      <c r="N23" s="20" t="s">
        <v>365</v>
      </c>
      <c r="O23" s="20">
        <v>0.89476591760299629</v>
      </c>
    </row>
    <row r="24" spans="1:15" x14ac:dyDescent="0.2">
      <c r="A24" s="20" t="s">
        <v>101</v>
      </c>
      <c r="B24" s="20" t="s">
        <v>102</v>
      </c>
      <c r="C24" s="20" t="s">
        <v>367</v>
      </c>
      <c r="D24" s="20">
        <v>200.69774011299441</v>
      </c>
      <c r="E24" s="20">
        <v>354</v>
      </c>
      <c r="F24" s="20">
        <v>81.755196304849889</v>
      </c>
      <c r="G24" s="20" t="s">
        <v>439</v>
      </c>
      <c r="H24" s="20">
        <v>3</v>
      </c>
      <c r="I24" s="20">
        <v>-4.6663187043346932</v>
      </c>
      <c r="J24" s="20">
        <v>-4.6663187043346932</v>
      </c>
      <c r="K24" s="20" t="s">
        <v>369</v>
      </c>
      <c r="L24" s="20" t="s">
        <v>368</v>
      </c>
      <c r="M24" s="20">
        <v>5.1657142857142846</v>
      </c>
      <c r="N24" s="20" t="s">
        <v>365</v>
      </c>
      <c r="O24" s="20">
        <v>0.97721487082545677</v>
      </c>
    </row>
    <row r="25" spans="1:15" x14ac:dyDescent="0.2">
      <c r="A25" s="20" t="s">
        <v>453</v>
      </c>
      <c r="B25" s="20" t="s">
        <v>454</v>
      </c>
      <c r="C25" s="20" t="s">
        <v>362</v>
      </c>
      <c r="D25" s="20">
        <v>0</v>
      </c>
      <c r="E25" s="20">
        <v>344</v>
      </c>
      <c r="F25" s="20">
        <v>79.445727482678976</v>
      </c>
      <c r="G25" s="20" t="s">
        <v>439</v>
      </c>
      <c r="H25" s="20"/>
      <c r="I25" s="20"/>
      <c r="J25" s="20">
        <v>-1.384113661892663</v>
      </c>
      <c r="K25" s="20" t="s">
        <v>414</v>
      </c>
      <c r="L25" s="20" t="s">
        <v>363</v>
      </c>
      <c r="M25" s="20">
        <v>0</v>
      </c>
      <c r="N25" s="20" t="s">
        <v>373</v>
      </c>
      <c r="O25" s="20"/>
    </row>
    <row r="26" spans="1:15" x14ac:dyDescent="0.2">
      <c r="A26" s="20" t="s">
        <v>455</v>
      </c>
      <c r="B26" s="20" t="s">
        <v>456</v>
      </c>
      <c r="C26" s="20" t="s">
        <v>367</v>
      </c>
      <c r="D26" s="20">
        <v>406.82396088019561</v>
      </c>
      <c r="E26" s="20">
        <v>1636</v>
      </c>
      <c r="F26" s="20">
        <v>377.82909930715942</v>
      </c>
      <c r="G26" s="20" t="s">
        <v>409</v>
      </c>
      <c r="H26" s="20"/>
      <c r="I26" s="20"/>
      <c r="J26" s="20">
        <v>-1.273147819780216</v>
      </c>
      <c r="K26" s="20" t="s">
        <v>364</v>
      </c>
      <c r="L26" s="20" t="s">
        <v>363</v>
      </c>
      <c r="M26" s="20">
        <v>86.081249999999997</v>
      </c>
      <c r="N26" s="20" t="s">
        <v>365</v>
      </c>
      <c r="O26" s="20">
        <v>0.8309784831874335</v>
      </c>
    </row>
    <row r="27" spans="1:15" x14ac:dyDescent="0.2">
      <c r="A27" s="20" t="s">
        <v>457</v>
      </c>
      <c r="B27" s="20" t="s">
        <v>458</v>
      </c>
      <c r="C27" s="20" t="s">
        <v>367</v>
      </c>
      <c r="D27" s="20">
        <v>299</v>
      </c>
      <c r="E27" s="20">
        <v>88</v>
      </c>
      <c r="F27" s="20">
        <v>20.323325635103931</v>
      </c>
      <c r="G27" s="20" t="s">
        <v>439</v>
      </c>
      <c r="H27" s="20">
        <v>1</v>
      </c>
      <c r="I27" s="20">
        <v>0.437359850099859</v>
      </c>
      <c r="J27" s="20">
        <v>0.437359850099859</v>
      </c>
      <c r="K27" s="20" t="s">
        <v>369</v>
      </c>
      <c r="L27" s="20" t="s">
        <v>370</v>
      </c>
      <c r="M27" s="20">
        <v>20.94</v>
      </c>
      <c r="N27" s="20" t="s">
        <v>365</v>
      </c>
      <c r="O27" s="20">
        <v>0.9175590551181102</v>
      </c>
    </row>
    <row r="28" spans="1:15" x14ac:dyDescent="0.2">
      <c r="A28" s="20" t="s">
        <v>137</v>
      </c>
      <c r="B28" s="20" t="s">
        <v>138</v>
      </c>
      <c r="C28" s="20" t="s">
        <v>367</v>
      </c>
      <c r="D28" s="20">
        <v>162.18518518518519</v>
      </c>
      <c r="E28" s="20">
        <v>999</v>
      </c>
      <c r="F28" s="20">
        <v>230.715935334873</v>
      </c>
      <c r="G28" s="20" t="s">
        <v>439</v>
      </c>
      <c r="H28" s="20">
        <v>3</v>
      </c>
      <c r="I28" s="20">
        <v>-0.68249003901496008</v>
      </c>
      <c r="J28" s="20">
        <v>-0.68249003901496008</v>
      </c>
      <c r="K28" s="20" t="s">
        <v>369</v>
      </c>
      <c r="L28" s="20" t="s">
        <v>368</v>
      </c>
      <c r="M28" s="20">
        <v>14.0375</v>
      </c>
      <c r="N28" s="20" t="s">
        <v>365</v>
      </c>
      <c r="O28" s="20">
        <v>0.88124695567462252</v>
      </c>
    </row>
    <row r="29" spans="1:15" x14ac:dyDescent="0.2">
      <c r="A29" s="20" t="s">
        <v>147</v>
      </c>
      <c r="B29" s="20" t="s">
        <v>148</v>
      </c>
      <c r="C29" s="20" t="s">
        <v>367</v>
      </c>
      <c r="D29" s="20">
        <v>349</v>
      </c>
      <c r="E29" s="20">
        <v>244</v>
      </c>
      <c r="F29" s="20">
        <v>56.351039260969984</v>
      </c>
      <c r="G29" s="20" t="s">
        <v>409</v>
      </c>
      <c r="H29" s="20"/>
      <c r="I29" s="20"/>
      <c r="J29" s="20">
        <v>-1.273147819780216</v>
      </c>
      <c r="K29" s="20" t="s">
        <v>364</v>
      </c>
      <c r="L29" s="20" t="s">
        <v>363</v>
      </c>
      <c r="M29" s="20">
        <v>15.452500000000001</v>
      </c>
      <c r="N29" s="20" t="s">
        <v>365</v>
      </c>
      <c r="O29" s="20">
        <v>0.91613707165109037</v>
      </c>
    </row>
    <row r="30" spans="1:15" x14ac:dyDescent="0.2">
      <c r="A30" s="20" t="s">
        <v>459</v>
      </c>
      <c r="B30" s="20" t="s">
        <v>460</v>
      </c>
      <c r="C30" s="20" t="s">
        <v>367</v>
      </c>
      <c r="D30" s="20"/>
      <c r="E30" s="20"/>
      <c r="F30" s="20"/>
      <c r="G30" s="20"/>
      <c r="H30" s="20"/>
      <c r="I30" s="20"/>
      <c r="J30" s="20">
        <v>-1.08034578285814</v>
      </c>
      <c r="K30" s="20" t="s">
        <v>414</v>
      </c>
      <c r="L30" s="20" t="s">
        <v>363</v>
      </c>
      <c r="M30" s="20">
        <v>5</v>
      </c>
      <c r="N30" s="20" t="s">
        <v>365</v>
      </c>
      <c r="O30" s="20">
        <v>0.67547169811320751</v>
      </c>
    </row>
    <row r="31" spans="1:15" x14ac:dyDescent="0.2">
      <c r="A31" s="20" t="s">
        <v>461</v>
      </c>
      <c r="B31" s="20" t="s">
        <v>462</v>
      </c>
      <c r="C31" s="20" t="s">
        <v>367</v>
      </c>
      <c r="D31" s="20">
        <v>618.35</v>
      </c>
      <c r="E31" s="20">
        <v>200</v>
      </c>
      <c r="F31" s="20">
        <v>46.189376443418013</v>
      </c>
      <c r="G31" s="20" t="s">
        <v>463</v>
      </c>
      <c r="H31" s="20"/>
      <c r="I31" s="20"/>
      <c r="J31" s="20">
        <v>-2.3697537837821541</v>
      </c>
      <c r="K31" s="20" t="s">
        <v>364</v>
      </c>
      <c r="L31" s="20" t="s">
        <v>363</v>
      </c>
      <c r="M31" s="20">
        <v>58.070000000000007</v>
      </c>
      <c r="N31" s="20" t="s">
        <v>365</v>
      </c>
      <c r="O31" s="20">
        <v>0.90846469104665817</v>
      </c>
    </row>
    <row r="32" spans="1:15" x14ac:dyDescent="0.2">
      <c r="A32" s="20" t="s">
        <v>96</v>
      </c>
      <c r="B32" s="20" t="s">
        <v>97</v>
      </c>
      <c r="C32" s="20" t="s">
        <v>367</v>
      </c>
      <c r="D32" s="20">
        <v>77.286473607038118</v>
      </c>
      <c r="E32" s="20">
        <v>5456</v>
      </c>
      <c r="F32" s="20">
        <v>1260.046189376443</v>
      </c>
      <c r="G32" s="20" t="s">
        <v>439</v>
      </c>
      <c r="H32" s="20">
        <v>4</v>
      </c>
      <c r="I32" s="20">
        <v>-0.26127499161594198</v>
      </c>
      <c r="J32" s="20">
        <v>-0.26127499161594198</v>
      </c>
      <c r="K32" s="20" t="s">
        <v>369</v>
      </c>
      <c r="L32" s="20" t="s">
        <v>368</v>
      </c>
      <c r="M32" s="20">
        <v>9.7804301075268807</v>
      </c>
      <c r="N32" s="20" t="s">
        <v>365</v>
      </c>
      <c r="O32" s="20">
        <v>0.83895805680913194</v>
      </c>
    </row>
    <row r="33" spans="1:15" x14ac:dyDescent="0.2">
      <c r="A33" s="20" t="s">
        <v>464</v>
      </c>
      <c r="B33" s="20" t="s">
        <v>465</v>
      </c>
      <c r="C33" s="20" t="s">
        <v>367</v>
      </c>
      <c r="D33" s="20">
        <v>534.1846733668342</v>
      </c>
      <c r="E33" s="20">
        <v>796</v>
      </c>
      <c r="F33" s="20">
        <v>183.83371824480369</v>
      </c>
      <c r="G33" s="20" t="s">
        <v>409</v>
      </c>
      <c r="H33" s="20"/>
      <c r="I33" s="20"/>
      <c r="J33" s="20">
        <v>-1.273147819780216</v>
      </c>
      <c r="K33" s="20" t="s">
        <v>364</v>
      </c>
      <c r="L33" s="20" t="s">
        <v>363</v>
      </c>
      <c r="M33" s="20">
        <v>137.56800000000001</v>
      </c>
      <c r="N33" s="20" t="s">
        <v>365</v>
      </c>
      <c r="O33" s="20">
        <v>0.74265244444444445</v>
      </c>
    </row>
    <row r="34" spans="1:15" x14ac:dyDescent="0.2">
      <c r="A34" s="20" t="s">
        <v>466</v>
      </c>
      <c r="B34" s="20" t="s">
        <v>467</v>
      </c>
      <c r="C34" s="20" t="s">
        <v>367</v>
      </c>
      <c r="D34" s="20">
        <v>1099</v>
      </c>
      <c r="E34" s="20">
        <v>94</v>
      </c>
      <c r="F34" s="20">
        <v>21.70900692840647</v>
      </c>
      <c r="G34" s="20" t="s">
        <v>452</v>
      </c>
      <c r="H34" s="20"/>
      <c r="I34" s="20"/>
      <c r="J34" s="20">
        <v>3.1718382023897091</v>
      </c>
      <c r="K34" s="20" t="s">
        <v>364</v>
      </c>
      <c r="L34" s="20" t="s">
        <v>363</v>
      </c>
      <c r="M34" s="20">
        <v>117.71</v>
      </c>
      <c r="N34" s="20" t="s">
        <v>365</v>
      </c>
      <c r="O34" s="20">
        <v>0.89571650055370977</v>
      </c>
    </row>
    <row r="35" spans="1:15" x14ac:dyDescent="0.2">
      <c r="A35" s="20" t="s">
        <v>468</v>
      </c>
      <c r="B35" s="20" t="s">
        <v>469</v>
      </c>
      <c r="C35" s="20" t="s">
        <v>367</v>
      </c>
      <c r="D35" s="20">
        <v>489</v>
      </c>
      <c r="E35" s="20">
        <v>11</v>
      </c>
      <c r="F35" s="20">
        <v>2.5404157043879909</v>
      </c>
      <c r="G35" s="20" t="s">
        <v>409</v>
      </c>
      <c r="H35" s="20">
        <v>1</v>
      </c>
      <c r="I35" s="20">
        <v>2.176019413905947</v>
      </c>
      <c r="J35" s="20">
        <v>2.176019413905947</v>
      </c>
      <c r="K35" s="20" t="s">
        <v>369</v>
      </c>
      <c r="L35" s="20" t="s">
        <v>370</v>
      </c>
      <c r="M35" s="20">
        <v>37.83</v>
      </c>
      <c r="N35" s="20" t="s">
        <v>365</v>
      </c>
      <c r="O35" s="20">
        <v>0.91846982758620688</v>
      </c>
    </row>
    <row r="36" spans="1:15" x14ac:dyDescent="0.2">
      <c r="A36" s="20" t="s">
        <v>470</v>
      </c>
      <c r="B36" s="20" t="s">
        <v>471</v>
      </c>
      <c r="C36" s="20" t="s">
        <v>362</v>
      </c>
      <c r="D36" s="20">
        <v>599</v>
      </c>
      <c r="E36" s="20">
        <v>38</v>
      </c>
      <c r="F36" s="20">
        <v>8.7759815242494223</v>
      </c>
      <c r="G36" s="20" t="s">
        <v>409</v>
      </c>
      <c r="H36" s="20">
        <v>1</v>
      </c>
      <c r="I36" s="20">
        <v>-0.46180456883058241</v>
      </c>
      <c r="J36" s="20">
        <v>-0.46180456883058241</v>
      </c>
      <c r="K36" s="20" t="s">
        <v>369</v>
      </c>
      <c r="L36" s="20" t="s">
        <v>370</v>
      </c>
      <c r="M36" s="20">
        <v>132.96125000000001</v>
      </c>
      <c r="N36" s="20" t="s">
        <v>365</v>
      </c>
      <c r="O36" s="20">
        <v>0.78940363349131126</v>
      </c>
    </row>
    <row r="37" spans="1:15" x14ac:dyDescent="0.2">
      <c r="A37" s="20" t="s">
        <v>472</v>
      </c>
      <c r="B37" s="20" t="s">
        <v>473</v>
      </c>
      <c r="C37" s="20" t="s">
        <v>367</v>
      </c>
      <c r="D37" s="20">
        <v>372.55371900826452</v>
      </c>
      <c r="E37" s="20">
        <v>121</v>
      </c>
      <c r="F37" s="20">
        <v>27.944572748267898</v>
      </c>
      <c r="G37" s="20" t="s">
        <v>409</v>
      </c>
      <c r="H37" s="20">
        <v>2</v>
      </c>
      <c r="I37" s="20">
        <v>0.20687141618812491</v>
      </c>
      <c r="J37" s="20">
        <v>0.20687141618812491</v>
      </c>
      <c r="K37" s="20" t="s">
        <v>369</v>
      </c>
      <c r="L37" s="20" t="s">
        <v>370</v>
      </c>
      <c r="M37" s="20">
        <v>23.04</v>
      </c>
      <c r="N37" s="20" t="s">
        <v>365</v>
      </c>
      <c r="O37" s="20">
        <v>0.93904761904761902</v>
      </c>
    </row>
    <row r="38" spans="1:15" x14ac:dyDescent="0.2">
      <c r="A38" s="20" t="s">
        <v>474</v>
      </c>
      <c r="B38" s="20" t="s">
        <v>475</v>
      </c>
      <c r="C38" s="20" t="s">
        <v>362</v>
      </c>
      <c r="D38" s="20">
        <v>599</v>
      </c>
      <c r="E38" s="20">
        <v>154</v>
      </c>
      <c r="F38" s="20">
        <v>35.565819861431869</v>
      </c>
      <c r="G38" s="20" t="s">
        <v>409</v>
      </c>
      <c r="H38" s="20"/>
      <c r="I38" s="20"/>
      <c r="J38" s="20">
        <v>-0.79078567053692428</v>
      </c>
      <c r="K38" s="20" t="s">
        <v>364</v>
      </c>
      <c r="L38" s="20" t="s">
        <v>363</v>
      </c>
      <c r="M38" s="20">
        <v>5.62</v>
      </c>
      <c r="N38" s="20" t="s">
        <v>365</v>
      </c>
      <c r="O38" s="20">
        <v>0.92573268921095009</v>
      </c>
    </row>
    <row r="39" spans="1:15" x14ac:dyDescent="0.2">
      <c r="A39" s="20" t="s">
        <v>476</v>
      </c>
      <c r="B39" s="20" t="s">
        <v>477</v>
      </c>
      <c r="C39" s="20" t="s">
        <v>367</v>
      </c>
      <c r="D39" s="20">
        <v>89</v>
      </c>
      <c r="E39" s="20">
        <v>147</v>
      </c>
      <c r="F39" s="20">
        <v>33.94919168591224</v>
      </c>
      <c r="G39" s="20" t="s">
        <v>439</v>
      </c>
      <c r="H39" s="20">
        <v>2</v>
      </c>
      <c r="I39" s="20">
        <v>-0.38682516668866768</v>
      </c>
      <c r="J39" s="20">
        <v>-0.38682516668866768</v>
      </c>
      <c r="K39" s="20" t="s">
        <v>369</v>
      </c>
      <c r="L39" s="20" t="s">
        <v>370</v>
      </c>
      <c r="M39" s="20">
        <v>2.81</v>
      </c>
      <c r="N39" s="20" t="s">
        <v>365</v>
      </c>
      <c r="O39" s="20">
        <v>0.97995720399429398</v>
      </c>
    </row>
    <row r="40" spans="1:15" x14ac:dyDescent="0.2">
      <c r="A40" s="20" t="s">
        <v>131</v>
      </c>
      <c r="B40" s="20" t="s">
        <v>132</v>
      </c>
      <c r="C40" s="20" t="s">
        <v>367</v>
      </c>
      <c r="D40" s="20">
        <v>78.947039138658525</v>
      </c>
      <c r="E40" s="20">
        <v>6873</v>
      </c>
      <c r="F40" s="20">
        <v>1587.2979214780601</v>
      </c>
      <c r="G40" s="20" t="s">
        <v>439</v>
      </c>
      <c r="H40" s="20">
        <v>3</v>
      </c>
      <c r="I40" s="20">
        <v>-0.62294760225537271</v>
      </c>
      <c r="J40" s="20">
        <v>-0.62294760225537271</v>
      </c>
      <c r="K40" s="20" t="s">
        <v>369</v>
      </c>
      <c r="L40" s="20" t="s">
        <v>368</v>
      </c>
      <c r="M40" s="20">
        <v>2.4654255319148941</v>
      </c>
      <c r="N40" s="20" t="s">
        <v>365</v>
      </c>
      <c r="O40" s="20">
        <v>0.89599876477854246</v>
      </c>
    </row>
    <row r="41" spans="1:15" x14ac:dyDescent="0.2">
      <c r="A41" s="20" t="s">
        <v>125</v>
      </c>
      <c r="B41" s="20" t="s">
        <v>126</v>
      </c>
      <c r="C41" s="20" t="s">
        <v>367</v>
      </c>
      <c r="D41" s="20">
        <v>73.87394957983193</v>
      </c>
      <c r="E41" s="20">
        <v>714</v>
      </c>
      <c r="F41" s="20">
        <v>164.8960739030023</v>
      </c>
      <c r="G41" s="20" t="s">
        <v>439</v>
      </c>
      <c r="H41" s="20">
        <v>1</v>
      </c>
      <c r="I41" s="20">
        <v>-0.2689795110634865</v>
      </c>
      <c r="J41" s="20">
        <v>-0.2689795110634865</v>
      </c>
      <c r="K41" s="20" t="s">
        <v>369</v>
      </c>
      <c r="L41" s="20" t="s">
        <v>370</v>
      </c>
      <c r="M41" s="20">
        <v>12.05481481481481</v>
      </c>
      <c r="N41" s="20" t="s">
        <v>365</v>
      </c>
      <c r="O41" s="20">
        <v>0.90679266895761745</v>
      </c>
    </row>
    <row r="42" spans="1:15" x14ac:dyDescent="0.2">
      <c r="A42" s="20" t="s">
        <v>84</v>
      </c>
      <c r="B42" s="20" t="s">
        <v>85</v>
      </c>
      <c r="C42" s="20" t="s">
        <v>367</v>
      </c>
      <c r="D42" s="20">
        <v>357.04063957361763</v>
      </c>
      <c r="E42" s="20">
        <v>4503</v>
      </c>
      <c r="F42" s="20">
        <v>1039.953810623557</v>
      </c>
      <c r="G42" s="20" t="s">
        <v>409</v>
      </c>
      <c r="H42" s="20">
        <v>4</v>
      </c>
      <c r="I42" s="20">
        <v>-0.47331160471352868</v>
      </c>
      <c r="J42" s="20">
        <v>-0.47331160471352868</v>
      </c>
      <c r="K42" s="20" t="s">
        <v>369</v>
      </c>
      <c r="L42" s="20" t="s">
        <v>368</v>
      </c>
      <c r="M42" s="20">
        <v>96.921554404145084</v>
      </c>
      <c r="N42" s="20" t="s">
        <v>365</v>
      </c>
      <c r="O42" s="20">
        <v>0.6854914579468151</v>
      </c>
    </row>
    <row r="43" spans="1:15" x14ac:dyDescent="0.2">
      <c r="A43" s="20" t="s">
        <v>478</v>
      </c>
      <c r="B43" s="20" t="s">
        <v>479</v>
      </c>
      <c r="C43" s="20" t="s">
        <v>362</v>
      </c>
      <c r="D43" s="20">
        <v>899</v>
      </c>
      <c r="E43" s="20">
        <v>186</v>
      </c>
      <c r="F43" s="20">
        <v>42.956120092378747</v>
      </c>
      <c r="G43" s="20" t="s">
        <v>463</v>
      </c>
      <c r="H43" s="20"/>
      <c r="I43" s="20"/>
      <c r="J43" s="20">
        <v>-2.6197664336783242</v>
      </c>
      <c r="K43" s="20" t="s">
        <v>364</v>
      </c>
      <c r="L43" s="20" t="s">
        <v>363</v>
      </c>
      <c r="M43" s="20">
        <v>157.54</v>
      </c>
      <c r="N43" s="20" t="s">
        <v>365</v>
      </c>
      <c r="O43" s="20">
        <v>0.78035440687146951</v>
      </c>
    </row>
    <row r="44" spans="1:15" x14ac:dyDescent="0.2">
      <c r="A44" s="20" t="s">
        <v>480</v>
      </c>
      <c r="B44" s="20" t="s">
        <v>481</v>
      </c>
      <c r="C44" s="20" t="s">
        <v>367</v>
      </c>
      <c r="D44" s="20">
        <v>698.78528225806451</v>
      </c>
      <c r="E44" s="20">
        <v>992</v>
      </c>
      <c r="F44" s="20">
        <v>229.09930715935329</v>
      </c>
      <c r="G44" s="20" t="s">
        <v>463</v>
      </c>
      <c r="H44" s="20">
        <v>3</v>
      </c>
      <c r="I44" s="20">
        <v>-1.1309036745989971</v>
      </c>
      <c r="J44" s="20">
        <v>-1.1309036745989971</v>
      </c>
      <c r="K44" s="20" t="s">
        <v>369</v>
      </c>
      <c r="L44" s="20" t="s">
        <v>368</v>
      </c>
      <c r="M44" s="20">
        <v>82.29</v>
      </c>
      <c r="N44" s="20" t="s">
        <v>365</v>
      </c>
      <c r="O44" s="20">
        <v>0.54040822497732088</v>
      </c>
    </row>
    <row r="45" spans="1:15" x14ac:dyDescent="0.2">
      <c r="A45" s="20" t="s">
        <v>482</v>
      </c>
      <c r="B45" s="20" t="s">
        <v>483</v>
      </c>
      <c r="C45" s="20" t="s">
        <v>367</v>
      </c>
      <c r="D45" s="20">
        <v>823</v>
      </c>
      <c r="E45" s="20">
        <v>50</v>
      </c>
      <c r="F45" s="20">
        <v>11.5473441108545</v>
      </c>
      <c r="G45" s="20" t="s">
        <v>463</v>
      </c>
      <c r="H45" s="20">
        <v>2</v>
      </c>
      <c r="I45" s="20">
        <v>-0.83100074900276544</v>
      </c>
      <c r="J45" s="20">
        <v>-0.83100074900276544</v>
      </c>
      <c r="K45" s="20" t="s">
        <v>369</v>
      </c>
      <c r="L45" s="20" t="s">
        <v>370</v>
      </c>
      <c r="M45" s="20">
        <v>82.29</v>
      </c>
      <c r="N45" s="20" t="s">
        <v>365</v>
      </c>
      <c r="O45" s="20">
        <v>0.7440435458786937</v>
      </c>
    </row>
    <row r="46" spans="1:15" x14ac:dyDescent="0.2">
      <c r="A46" s="20" t="s">
        <v>134</v>
      </c>
      <c r="B46" s="20" t="s">
        <v>135</v>
      </c>
      <c r="C46" s="20" t="s">
        <v>367</v>
      </c>
      <c r="D46" s="20">
        <v>384.50074738415537</v>
      </c>
      <c r="E46" s="20">
        <v>669</v>
      </c>
      <c r="F46" s="20">
        <v>154.50346420323319</v>
      </c>
      <c r="G46" s="20" t="s">
        <v>409</v>
      </c>
      <c r="H46" s="20"/>
      <c r="I46" s="20"/>
      <c r="J46" s="20">
        <v>-1.273147819780216</v>
      </c>
      <c r="K46" s="20" t="s">
        <v>364</v>
      </c>
      <c r="L46" s="20" t="s">
        <v>363</v>
      </c>
      <c r="M46" s="20">
        <v>11.32</v>
      </c>
      <c r="N46" s="20" t="s">
        <v>365</v>
      </c>
      <c r="O46" s="20">
        <v>0.97424345847554039</v>
      </c>
    </row>
    <row r="47" spans="1:15" x14ac:dyDescent="0.2">
      <c r="A47" s="20" t="s">
        <v>484</v>
      </c>
      <c r="B47" s="20" t="s">
        <v>485</v>
      </c>
      <c r="C47" s="20" t="s">
        <v>362</v>
      </c>
      <c r="D47" s="20">
        <v>0</v>
      </c>
      <c r="E47" s="20">
        <v>1215</v>
      </c>
      <c r="F47" s="20">
        <v>280.60046189376442</v>
      </c>
      <c r="G47" s="20" t="s">
        <v>439</v>
      </c>
      <c r="H47" s="20"/>
      <c r="I47" s="20"/>
      <c r="J47" s="20">
        <v>-1.384113661892663</v>
      </c>
      <c r="K47" s="20" t="s">
        <v>414</v>
      </c>
      <c r="L47" s="20" t="s">
        <v>363</v>
      </c>
      <c r="M47" s="20">
        <v>0</v>
      </c>
      <c r="N47" s="20" t="s">
        <v>373</v>
      </c>
      <c r="O47" s="20"/>
    </row>
    <row r="48" spans="1:15" x14ac:dyDescent="0.2">
      <c r="A48" s="20" t="s">
        <v>486</v>
      </c>
      <c r="B48" s="20" t="s">
        <v>487</v>
      </c>
      <c r="C48" s="20" t="s">
        <v>367</v>
      </c>
      <c r="D48" s="20">
        <v>452.36148648648651</v>
      </c>
      <c r="E48" s="20">
        <v>296</v>
      </c>
      <c r="F48" s="20">
        <v>68.360277136258659</v>
      </c>
      <c r="G48" s="20" t="s">
        <v>409</v>
      </c>
      <c r="H48" s="20"/>
      <c r="I48" s="20"/>
      <c r="J48" s="20">
        <v>-1.273147819780216</v>
      </c>
      <c r="K48" s="20" t="s">
        <v>364</v>
      </c>
      <c r="L48" s="20" t="s">
        <v>363</v>
      </c>
      <c r="M48" s="20">
        <v>98.381538461538469</v>
      </c>
      <c r="N48" s="20" t="s">
        <v>365</v>
      </c>
      <c r="O48" s="20">
        <v>0.84142780653221483</v>
      </c>
    </row>
    <row r="49" spans="1:15" x14ac:dyDescent="0.2">
      <c r="A49" s="20" t="s">
        <v>488</v>
      </c>
      <c r="B49" s="20" t="s">
        <v>489</v>
      </c>
      <c r="C49" s="20" t="s">
        <v>367</v>
      </c>
      <c r="D49" s="20">
        <v>363.44444444444451</v>
      </c>
      <c r="E49" s="20">
        <v>90</v>
      </c>
      <c r="F49" s="20">
        <v>20.785219399538111</v>
      </c>
      <c r="G49" s="20" t="s">
        <v>409</v>
      </c>
      <c r="H49" s="20">
        <v>1</v>
      </c>
      <c r="I49" s="20">
        <v>-2.1983237780611522</v>
      </c>
      <c r="J49" s="20">
        <v>-2.1983237780611522</v>
      </c>
      <c r="K49" s="20" t="s">
        <v>369</v>
      </c>
      <c r="L49" s="20" t="s">
        <v>370</v>
      </c>
      <c r="M49" s="20">
        <v>109.0333333333333</v>
      </c>
      <c r="N49" s="20" t="s">
        <v>373</v>
      </c>
      <c r="O49" s="20"/>
    </row>
    <row r="50" spans="1:15" x14ac:dyDescent="0.2">
      <c r="A50" s="20" t="s">
        <v>490</v>
      </c>
      <c r="B50" s="20" t="s">
        <v>491</v>
      </c>
      <c r="C50" s="20" t="s">
        <v>362</v>
      </c>
      <c r="D50" s="20">
        <v>999</v>
      </c>
      <c r="E50" s="20">
        <v>48</v>
      </c>
      <c r="F50" s="20">
        <v>11.08545034642032</v>
      </c>
      <c r="G50" s="20" t="s">
        <v>463</v>
      </c>
      <c r="H50" s="20"/>
      <c r="I50" s="20"/>
      <c r="J50" s="20">
        <v>-2.6197664336783242</v>
      </c>
      <c r="K50" s="20" t="s">
        <v>364</v>
      </c>
      <c r="L50" s="20" t="s">
        <v>363</v>
      </c>
      <c r="M50" s="20">
        <v>74.91</v>
      </c>
      <c r="N50" s="20" t="s">
        <v>365</v>
      </c>
      <c r="O50" s="20">
        <v>0.92200937011972939</v>
      </c>
    </row>
    <row r="51" spans="1:15" x14ac:dyDescent="0.2">
      <c r="A51" s="20" t="s">
        <v>128</v>
      </c>
      <c r="B51" s="20" t="s">
        <v>129</v>
      </c>
      <c r="C51" s="20" t="s">
        <v>367</v>
      </c>
      <c r="D51" s="20">
        <v>386.84776403425309</v>
      </c>
      <c r="E51" s="20">
        <v>1051</v>
      </c>
      <c r="F51" s="20">
        <v>242.7251732101617</v>
      </c>
      <c r="G51" s="20" t="s">
        <v>409</v>
      </c>
      <c r="H51" s="20"/>
      <c r="I51" s="20"/>
      <c r="J51" s="20">
        <v>-1.273147819780216</v>
      </c>
      <c r="K51" s="20" t="s">
        <v>364</v>
      </c>
      <c r="L51" s="20" t="s">
        <v>363</v>
      </c>
      <c r="M51" s="20">
        <v>22.18</v>
      </c>
      <c r="N51" s="20" t="s">
        <v>365</v>
      </c>
      <c r="O51" s="20">
        <v>0.94471585244267209</v>
      </c>
    </row>
    <row r="52" spans="1:15" x14ac:dyDescent="0.2">
      <c r="A52" s="20" t="s">
        <v>492</v>
      </c>
      <c r="B52" s="20" t="s">
        <v>493</v>
      </c>
      <c r="C52" s="20" t="s">
        <v>367</v>
      </c>
      <c r="D52" s="20">
        <v>582.83817951959543</v>
      </c>
      <c r="E52" s="20">
        <v>791</v>
      </c>
      <c r="F52" s="20">
        <v>182.67898383371821</v>
      </c>
      <c r="G52" s="20" t="s">
        <v>409</v>
      </c>
      <c r="H52" s="20"/>
      <c r="I52" s="20"/>
      <c r="J52" s="20">
        <v>-1.273147819780216</v>
      </c>
      <c r="K52" s="20" t="s">
        <v>364</v>
      </c>
      <c r="L52" s="20" t="s">
        <v>363</v>
      </c>
      <c r="M52" s="20">
        <v>81</v>
      </c>
      <c r="N52" s="20" t="s">
        <v>365</v>
      </c>
      <c r="O52" s="20">
        <v>0.73674588665447893</v>
      </c>
    </row>
    <row r="53" spans="1:15" x14ac:dyDescent="0.2">
      <c r="A53" s="20" t="s">
        <v>494</v>
      </c>
      <c r="B53" s="20" t="s">
        <v>495</v>
      </c>
      <c r="C53" s="20" t="s">
        <v>367</v>
      </c>
      <c r="D53" s="20">
        <v>169</v>
      </c>
      <c r="E53" s="20">
        <v>68</v>
      </c>
      <c r="F53" s="20">
        <v>15.704387990762131</v>
      </c>
      <c r="G53" s="20" t="s">
        <v>439</v>
      </c>
      <c r="H53" s="20">
        <v>2</v>
      </c>
      <c r="I53" s="20">
        <v>-6.5091388193627218</v>
      </c>
      <c r="J53" s="20">
        <v>-6.5091388193627218</v>
      </c>
      <c r="K53" s="20" t="s">
        <v>369</v>
      </c>
      <c r="L53" s="20" t="s">
        <v>368</v>
      </c>
      <c r="M53" s="20">
        <v>12.63</v>
      </c>
      <c r="N53" s="20" t="s">
        <v>365</v>
      </c>
      <c r="O53" s="20">
        <v>0.66058106169296993</v>
      </c>
    </row>
    <row r="54" spans="1:15" x14ac:dyDescent="0.2">
      <c r="A54" s="20" t="s">
        <v>496</v>
      </c>
      <c r="B54" s="20" t="s">
        <v>497</v>
      </c>
      <c r="C54" s="20" t="s">
        <v>367</v>
      </c>
      <c r="D54" s="20">
        <v>513.99646643109543</v>
      </c>
      <c r="E54" s="20">
        <v>566</v>
      </c>
      <c r="F54" s="20">
        <v>130.715935334873</v>
      </c>
      <c r="G54" s="20" t="s">
        <v>409</v>
      </c>
      <c r="H54" s="20">
        <v>1</v>
      </c>
      <c r="I54" s="20">
        <v>-0.92296836695840145</v>
      </c>
      <c r="J54" s="20">
        <v>-0.92296836695840145</v>
      </c>
      <c r="K54" s="20" t="s">
        <v>369</v>
      </c>
      <c r="L54" s="20" t="s">
        <v>370</v>
      </c>
      <c r="M54" s="20">
        <v>37.31</v>
      </c>
      <c r="N54" s="20" t="s">
        <v>365</v>
      </c>
      <c r="O54" s="20">
        <v>0.84339705882352944</v>
      </c>
    </row>
    <row r="55" spans="1:15" x14ac:dyDescent="0.2">
      <c r="A55" s="20" t="s">
        <v>498</v>
      </c>
      <c r="B55" s="20" t="s">
        <v>499</v>
      </c>
      <c r="C55" s="20" t="s">
        <v>367</v>
      </c>
      <c r="D55" s="20">
        <v>728.73480662983422</v>
      </c>
      <c r="E55" s="20">
        <v>181</v>
      </c>
      <c r="F55" s="20">
        <v>41.801385681293297</v>
      </c>
      <c r="G55" s="20" t="s">
        <v>463</v>
      </c>
      <c r="H55" s="20">
        <v>1</v>
      </c>
      <c r="I55" s="20">
        <v>-8.8876998384256272</v>
      </c>
      <c r="J55" s="20">
        <v>-8.8876998384256272</v>
      </c>
      <c r="K55" s="20" t="s">
        <v>369</v>
      </c>
      <c r="L55" s="20" t="s">
        <v>370</v>
      </c>
      <c r="M55" s="20">
        <v>73.16687499999999</v>
      </c>
      <c r="N55" s="20" t="s">
        <v>365</v>
      </c>
      <c r="O55" s="20">
        <v>0.8427916276695312</v>
      </c>
    </row>
    <row r="56" spans="1:15" x14ac:dyDescent="0.2">
      <c r="A56" s="20" t="s">
        <v>500</v>
      </c>
      <c r="B56" s="20" t="s">
        <v>501</v>
      </c>
      <c r="C56" s="20" t="s">
        <v>367</v>
      </c>
      <c r="D56" s="20">
        <v>387.09523809523807</v>
      </c>
      <c r="E56" s="20">
        <v>168</v>
      </c>
      <c r="F56" s="20">
        <v>38.799076212471128</v>
      </c>
      <c r="G56" s="20" t="s">
        <v>409</v>
      </c>
      <c r="H56" s="20"/>
      <c r="I56" s="20"/>
      <c r="J56" s="20">
        <v>-1.273147819780216</v>
      </c>
      <c r="K56" s="20" t="s">
        <v>364</v>
      </c>
      <c r="L56" s="20" t="s">
        <v>363</v>
      </c>
      <c r="M56" s="20">
        <v>45</v>
      </c>
      <c r="N56" s="20" t="s">
        <v>365</v>
      </c>
      <c r="O56" s="20">
        <v>0.86899563318777295</v>
      </c>
    </row>
    <row r="57" spans="1:15" x14ac:dyDescent="0.2">
      <c r="A57" s="20" t="s">
        <v>502</v>
      </c>
      <c r="B57" s="20" t="s">
        <v>503</v>
      </c>
      <c r="C57" s="20" t="s">
        <v>362</v>
      </c>
      <c r="D57" s="20"/>
      <c r="E57" s="20"/>
      <c r="F57" s="20"/>
      <c r="G57" s="20"/>
      <c r="H57" s="20"/>
      <c r="I57" s="20"/>
      <c r="J57" s="20">
        <v>-1.384113661892663</v>
      </c>
      <c r="K57" s="20" t="s">
        <v>414</v>
      </c>
      <c r="L57" s="20" t="s">
        <v>363</v>
      </c>
      <c r="M57" s="20"/>
      <c r="N57" s="20" t="s">
        <v>373</v>
      </c>
      <c r="O57" s="20"/>
    </row>
    <row r="58" spans="1:15" x14ac:dyDescent="0.2">
      <c r="A58" s="20" t="s">
        <v>504</v>
      </c>
      <c r="B58" s="20" t="s">
        <v>505</v>
      </c>
      <c r="C58" s="20" t="s">
        <v>367</v>
      </c>
      <c r="D58" s="20">
        <v>193</v>
      </c>
      <c r="E58" s="20">
        <v>50</v>
      </c>
      <c r="F58" s="20">
        <v>11.5473441108545</v>
      </c>
      <c r="G58" s="20" t="s">
        <v>439</v>
      </c>
      <c r="H58" s="20">
        <v>2</v>
      </c>
      <c r="I58" s="20">
        <v>-4.5758104171417484</v>
      </c>
      <c r="J58" s="20">
        <v>-4.5758104171417484</v>
      </c>
      <c r="K58" s="20" t="s">
        <v>369</v>
      </c>
      <c r="L58" s="20" t="s">
        <v>370</v>
      </c>
      <c r="M58" s="20">
        <v>57.9</v>
      </c>
      <c r="N58" s="20" t="s">
        <v>373</v>
      </c>
      <c r="O58" s="20"/>
    </row>
    <row r="59" spans="1:15" x14ac:dyDescent="0.2">
      <c r="A59" s="20" t="s">
        <v>506</v>
      </c>
      <c r="B59" s="20" t="s">
        <v>507</v>
      </c>
      <c r="C59" s="20" t="s">
        <v>367</v>
      </c>
      <c r="D59" s="20">
        <v>175</v>
      </c>
      <c r="E59" s="20">
        <v>57</v>
      </c>
      <c r="F59" s="20">
        <v>13.163972286374131</v>
      </c>
      <c r="G59" s="20" t="s">
        <v>439</v>
      </c>
      <c r="H59" s="20">
        <v>1</v>
      </c>
      <c r="I59" s="20">
        <v>-5.7538006515443776</v>
      </c>
      <c r="J59" s="20">
        <v>-5.7538006515443776</v>
      </c>
      <c r="K59" s="20" t="s">
        <v>369</v>
      </c>
      <c r="L59" s="20" t="s">
        <v>370</v>
      </c>
      <c r="M59" s="20">
        <v>12.63</v>
      </c>
      <c r="N59" s="20" t="s">
        <v>365</v>
      </c>
      <c r="O59" s="20">
        <v>0.83912976313079313</v>
      </c>
    </row>
    <row r="60" spans="1:15" x14ac:dyDescent="0.2">
      <c r="A60" s="20" t="s">
        <v>508</v>
      </c>
      <c r="B60" s="20" t="s">
        <v>509</v>
      </c>
      <c r="C60" s="20" t="s">
        <v>362</v>
      </c>
      <c r="D60" s="20">
        <v>1999</v>
      </c>
      <c r="E60" s="20">
        <v>11</v>
      </c>
      <c r="F60" s="20">
        <v>2.5404157043879909</v>
      </c>
      <c r="G60" s="20" t="s">
        <v>510</v>
      </c>
      <c r="H60" s="20"/>
      <c r="I60" s="20"/>
      <c r="J60" s="20">
        <v>-1.384113661892663</v>
      </c>
      <c r="K60" s="20" t="s">
        <v>414</v>
      </c>
      <c r="L60" s="20" t="s">
        <v>363</v>
      </c>
      <c r="M60" s="20">
        <v>279.64</v>
      </c>
      <c r="N60" s="20" t="s">
        <v>365</v>
      </c>
      <c r="O60" s="20">
        <v>0.8282836966533621</v>
      </c>
    </row>
    <row r="61" spans="1:15" x14ac:dyDescent="0.2">
      <c r="A61" s="20" t="s">
        <v>108</v>
      </c>
      <c r="B61" s="20" t="s">
        <v>109</v>
      </c>
      <c r="C61" s="20" t="s">
        <v>367</v>
      </c>
      <c r="D61" s="20">
        <v>609.55535390199634</v>
      </c>
      <c r="E61" s="20">
        <v>551</v>
      </c>
      <c r="F61" s="20">
        <v>127.2517321016166</v>
      </c>
      <c r="G61" s="20" t="s">
        <v>463</v>
      </c>
      <c r="H61" s="20">
        <v>4</v>
      </c>
      <c r="I61" s="20">
        <v>-1.7641271114040109</v>
      </c>
      <c r="J61" s="20">
        <v>-1.7641271114040109</v>
      </c>
      <c r="K61" s="20" t="s">
        <v>369</v>
      </c>
      <c r="L61" s="20" t="s">
        <v>368</v>
      </c>
      <c r="M61" s="20">
        <v>73.75</v>
      </c>
      <c r="N61" s="20" t="s">
        <v>365</v>
      </c>
      <c r="O61" s="20">
        <v>0.78940362087326943</v>
      </c>
    </row>
    <row r="62" spans="1:15" x14ac:dyDescent="0.2">
      <c r="A62" s="20" t="s">
        <v>90</v>
      </c>
      <c r="B62" s="20" t="s">
        <v>91</v>
      </c>
      <c r="C62" s="20" t="s">
        <v>367</v>
      </c>
      <c r="D62" s="20">
        <v>630.74826388888891</v>
      </c>
      <c r="E62" s="20">
        <v>576</v>
      </c>
      <c r="F62" s="20">
        <v>133.02540415704391</v>
      </c>
      <c r="G62" s="20" t="s">
        <v>463</v>
      </c>
      <c r="H62" s="20">
        <v>1</v>
      </c>
      <c r="I62" s="20">
        <v>-3.243527372700366</v>
      </c>
      <c r="J62" s="20">
        <v>-3.243527372700366</v>
      </c>
      <c r="K62" s="20" t="s">
        <v>369</v>
      </c>
      <c r="L62" s="20" t="s">
        <v>370</v>
      </c>
      <c r="M62" s="20">
        <v>89.858235294117648</v>
      </c>
      <c r="N62" s="20" t="s">
        <v>365</v>
      </c>
      <c r="O62" s="20">
        <v>0.75360878742866078</v>
      </c>
    </row>
    <row r="63" spans="1:15" x14ac:dyDescent="0.2">
      <c r="A63" s="20" t="s">
        <v>72</v>
      </c>
      <c r="B63" s="20" t="s">
        <v>73</v>
      </c>
      <c r="C63" s="20" t="s">
        <v>367</v>
      </c>
      <c r="D63" s="20">
        <v>422.99564549180332</v>
      </c>
      <c r="E63" s="20">
        <v>3904</v>
      </c>
      <c r="F63" s="20">
        <v>901.61662817551962</v>
      </c>
      <c r="G63" s="20" t="s">
        <v>409</v>
      </c>
      <c r="H63" s="20">
        <v>1</v>
      </c>
      <c r="I63" s="20">
        <v>-0.1663277053804128</v>
      </c>
      <c r="J63" s="20">
        <v>-0.1663277053804128</v>
      </c>
      <c r="K63" s="20" t="s">
        <v>369</v>
      </c>
      <c r="L63" s="20" t="s">
        <v>370</v>
      </c>
      <c r="M63" s="20">
        <v>66.421932515337417</v>
      </c>
      <c r="N63" s="20" t="s">
        <v>365</v>
      </c>
      <c r="O63" s="20">
        <v>0.76495028518973118</v>
      </c>
    </row>
    <row r="64" spans="1:15" x14ac:dyDescent="0.2">
      <c r="A64" s="20" t="s">
        <v>511</v>
      </c>
      <c r="B64" s="20" t="s">
        <v>512</v>
      </c>
      <c r="C64" s="20" t="s">
        <v>367</v>
      </c>
      <c r="D64" s="20">
        <v>165</v>
      </c>
      <c r="E64" s="20">
        <v>24</v>
      </c>
      <c r="F64" s="20">
        <v>5.5427251732101617</v>
      </c>
      <c r="G64" s="20" t="s">
        <v>439</v>
      </c>
      <c r="H64" s="20">
        <v>1</v>
      </c>
      <c r="I64" s="20">
        <v>1.2924932439598391</v>
      </c>
      <c r="J64" s="20">
        <v>1.2924932439598391</v>
      </c>
      <c r="K64" s="20" t="s">
        <v>369</v>
      </c>
      <c r="L64" s="20" t="s">
        <v>370</v>
      </c>
      <c r="M64" s="20">
        <v>3.62</v>
      </c>
      <c r="N64" s="20" t="s">
        <v>365</v>
      </c>
      <c r="O64" s="20">
        <v>0.80173086067522581</v>
      </c>
    </row>
    <row r="65" spans="1:15" x14ac:dyDescent="0.2">
      <c r="A65" s="20" t="s">
        <v>513</v>
      </c>
      <c r="B65" s="20" t="s">
        <v>514</v>
      </c>
      <c r="C65" s="20" t="s">
        <v>367</v>
      </c>
      <c r="D65" s="20">
        <v>263.02959094865099</v>
      </c>
      <c r="E65" s="20">
        <v>1149</v>
      </c>
      <c r="F65" s="20">
        <v>265.35796766743653</v>
      </c>
      <c r="G65" s="20" t="s">
        <v>439</v>
      </c>
      <c r="H65" s="20">
        <v>4</v>
      </c>
      <c r="I65" s="20">
        <v>-0.90525285458289018</v>
      </c>
      <c r="J65" s="20">
        <v>-0.90525285458289018</v>
      </c>
      <c r="K65" s="20" t="s">
        <v>369</v>
      </c>
      <c r="L65" s="20" t="s">
        <v>368</v>
      </c>
      <c r="M65" s="20">
        <v>30.472115384615389</v>
      </c>
      <c r="N65" s="20" t="s">
        <v>365</v>
      </c>
      <c r="O65" s="20">
        <v>0.75924492829660728</v>
      </c>
    </row>
    <row r="66" spans="1:15" x14ac:dyDescent="0.2">
      <c r="A66" s="20" t="s">
        <v>515</v>
      </c>
      <c r="B66" s="20" t="s">
        <v>516</v>
      </c>
      <c r="C66" s="20" t="s">
        <v>367</v>
      </c>
      <c r="D66" s="20">
        <v>171.55622188905551</v>
      </c>
      <c r="E66" s="20">
        <v>667</v>
      </c>
      <c r="F66" s="20">
        <v>154.04157043879911</v>
      </c>
      <c r="G66" s="20" t="s">
        <v>439</v>
      </c>
      <c r="H66" s="20">
        <v>3</v>
      </c>
      <c r="I66" s="20">
        <v>0.21683755115706321</v>
      </c>
      <c r="J66" s="20">
        <v>0.21683755115706321</v>
      </c>
      <c r="K66" s="20" t="s">
        <v>369</v>
      </c>
      <c r="L66" s="20" t="s">
        <v>368</v>
      </c>
      <c r="M66" s="20">
        <v>5.1677777777777774</v>
      </c>
      <c r="N66" s="20" t="s">
        <v>365</v>
      </c>
      <c r="O66" s="20">
        <v>0.82939234120614547</v>
      </c>
    </row>
    <row r="67" spans="1:15" x14ac:dyDescent="0.2">
      <c r="A67" s="20" t="s">
        <v>76</v>
      </c>
      <c r="B67" s="20" t="s">
        <v>77</v>
      </c>
      <c r="C67" s="20" t="s">
        <v>367</v>
      </c>
      <c r="D67" s="20">
        <v>604.69083969465646</v>
      </c>
      <c r="E67" s="20">
        <v>2096</v>
      </c>
      <c r="F67" s="20">
        <v>484.06466512702082</v>
      </c>
      <c r="G67" s="20" t="s">
        <v>463</v>
      </c>
      <c r="H67" s="20"/>
      <c r="I67" s="20"/>
      <c r="J67" s="20">
        <v>-2.3697537837821541</v>
      </c>
      <c r="K67" s="20" t="s">
        <v>364</v>
      </c>
      <c r="L67" s="20" t="s">
        <v>363</v>
      </c>
      <c r="M67" s="20">
        <v>65.259130434782605</v>
      </c>
      <c r="N67" s="20" t="s">
        <v>365</v>
      </c>
      <c r="O67" s="20">
        <v>0.8964569536423842</v>
      </c>
    </row>
    <row r="68" spans="1:15" x14ac:dyDescent="0.2">
      <c r="A68" s="20" t="s">
        <v>51</v>
      </c>
      <c r="B68" s="20" t="s">
        <v>52</v>
      </c>
      <c r="C68" s="20" t="s">
        <v>367</v>
      </c>
      <c r="D68" s="20">
        <v>537.22202166064983</v>
      </c>
      <c r="E68" s="20">
        <v>1108</v>
      </c>
      <c r="F68" s="20">
        <v>255.8891454965358</v>
      </c>
      <c r="G68" s="20" t="s">
        <v>409</v>
      </c>
      <c r="H68" s="20">
        <v>1</v>
      </c>
      <c r="I68" s="20">
        <v>-8.6836868834388508</v>
      </c>
      <c r="J68" s="20">
        <v>-8.6836868834388508</v>
      </c>
      <c r="K68" s="20" t="s">
        <v>369</v>
      </c>
      <c r="L68" s="20" t="s">
        <v>370</v>
      </c>
      <c r="M68" s="20">
        <v>85.847090909090909</v>
      </c>
      <c r="N68" s="20" t="s">
        <v>365</v>
      </c>
      <c r="O68" s="20">
        <v>0.77417052023121391</v>
      </c>
    </row>
    <row r="69" spans="1:15" x14ac:dyDescent="0.2">
      <c r="A69" s="20" t="s">
        <v>517</v>
      </c>
      <c r="B69" s="20" t="s">
        <v>518</v>
      </c>
      <c r="C69" s="20" t="s">
        <v>362</v>
      </c>
      <c r="D69" s="20"/>
      <c r="E69" s="20"/>
      <c r="F69" s="20"/>
      <c r="G69" s="20"/>
      <c r="H69" s="20"/>
      <c r="I69" s="20"/>
      <c r="J69" s="20">
        <v>-1.384113661892663</v>
      </c>
      <c r="K69" s="20" t="s">
        <v>414</v>
      </c>
      <c r="L69" s="20" t="s">
        <v>363</v>
      </c>
      <c r="M69" s="20"/>
      <c r="N69" s="20" t="s">
        <v>373</v>
      </c>
      <c r="O69" s="20"/>
    </row>
    <row r="70" spans="1:15" x14ac:dyDescent="0.2">
      <c r="A70" s="20" t="s">
        <v>519</v>
      </c>
      <c r="B70" s="20" t="s">
        <v>520</v>
      </c>
      <c r="C70" s="20" t="s">
        <v>367</v>
      </c>
      <c r="D70" s="20">
        <v>1374.375</v>
      </c>
      <c r="E70" s="20">
        <v>96</v>
      </c>
      <c r="F70" s="20">
        <v>22.17090069284065</v>
      </c>
      <c r="G70" s="20" t="s">
        <v>452</v>
      </c>
      <c r="H70" s="20">
        <v>2</v>
      </c>
      <c r="I70" s="20">
        <v>5.3023849595894497</v>
      </c>
      <c r="J70" s="20">
        <v>5.3023849595894497</v>
      </c>
      <c r="K70" s="20" t="s">
        <v>369</v>
      </c>
      <c r="L70" s="20" t="s">
        <v>368</v>
      </c>
      <c r="M70" s="20">
        <v>138.6</v>
      </c>
      <c r="N70" s="20" t="s">
        <v>365</v>
      </c>
      <c r="O70" s="20">
        <v>0.80426045016077174</v>
      </c>
    </row>
    <row r="71" spans="1:15" x14ac:dyDescent="0.2">
      <c r="A71" s="20" t="s">
        <v>43</v>
      </c>
      <c r="B71" s="20" t="s">
        <v>44</v>
      </c>
      <c r="C71" s="20" t="s">
        <v>367</v>
      </c>
      <c r="D71" s="20">
        <v>409.03150846790072</v>
      </c>
      <c r="E71" s="20">
        <v>2539</v>
      </c>
      <c r="F71" s="20">
        <v>586.37413394919167</v>
      </c>
      <c r="G71" s="20" t="s">
        <v>409</v>
      </c>
      <c r="H71" s="20">
        <v>2</v>
      </c>
      <c r="I71" s="20">
        <v>-8.1042285027873433</v>
      </c>
      <c r="J71" s="20">
        <v>-8.1042285027873433</v>
      </c>
      <c r="K71" s="20" t="s">
        <v>369</v>
      </c>
      <c r="L71" s="20" t="s">
        <v>368</v>
      </c>
      <c r="M71" s="20">
        <v>103.9</v>
      </c>
      <c r="N71" s="20" t="s">
        <v>365</v>
      </c>
      <c r="O71" s="20">
        <v>0.58410157328181067</v>
      </c>
    </row>
    <row r="72" spans="1:15" x14ac:dyDescent="0.2">
      <c r="A72" s="20" t="s">
        <v>521</v>
      </c>
      <c r="B72" s="20" t="s">
        <v>522</v>
      </c>
      <c r="C72" s="20" t="s">
        <v>367</v>
      </c>
      <c r="D72" s="20"/>
      <c r="E72" s="20"/>
      <c r="F72" s="20"/>
      <c r="G72" s="20"/>
      <c r="H72" s="20"/>
      <c r="I72" s="20"/>
      <c r="J72" s="20">
        <v>-1.08034578285814</v>
      </c>
      <c r="K72" s="20" t="s">
        <v>414</v>
      </c>
      <c r="L72" s="20" t="s">
        <v>363</v>
      </c>
      <c r="M72" s="20">
        <v>173.25</v>
      </c>
      <c r="N72" s="20" t="s">
        <v>365</v>
      </c>
      <c r="O72" s="20">
        <v>0.79593639575971731</v>
      </c>
    </row>
    <row r="73" spans="1:15" x14ac:dyDescent="0.2">
      <c r="A73" s="20" t="s">
        <v>523</v>
      </c>
      <c r="B73" s="20" t="s">
        <v>524</v>
      </c>
      <c r="C73" s="20" t="s">
        <v>367</v>
      </c>
      <c r="D73" s="20"/>
      <c r="E73" s="20"/>
      <c r="F73" s="20"/>
      <c r="G73" s="20"/>
      <c r="H73" s="20"/>
      <c r="I73" s="20"/>
      <c r="J73" s="20">
        <v>-1.08034578285814</v>
      </c>
      <c r="K73" s="20" t="s">
        <v>414</v>
      </c>
      <c r="L73" s="20" t="s">
        <v>363</v>
      </c>
      <c r="M73" s="20"/>
      <c r="N73" s="20" t="s">
        <v>373</v>
      </c>
      <c r="O73" s="20"/>
    </row>
    <row r="74" spans="1:15" x14ac:dyDescent="0.2">
      <c r="A74" s="20" t="s">
        <v>525</v>
      </c>
      <c r="B74" s="20" t="s">
        <v>526</v>
      </c>
      <c r="C74" s="20" t="s">
        <v>367</v>
      </c>
      <c r="D74" s="20"/>
      <c r="E74" s="20"/>
      <c r="F74" s="20"/>
      <c r="G74" s="20"/>
      <c r="H74" s="20">
        <v>1</v>
      </c>
      <c r="I74" s="20">
        <v>1.474081850027122</v>
      </c>
      <c r="J74" s="20">
        <v>1.474081850027122</v>
      </c>
      <c r="K74" s="20" t="s">
        <v>369</v>
      </c>
      <c r="L74" s="20" t="s">
        <v>370</v>
      </c>
      <c r="M74" s="20">
        <v>87.14</v>
      </c>
      <c r="N74" s="20" t="s">
        <v>365</v>
      </c>
      <c r="O74" s="20">
        <v>0.87470884255930992</v>
      </c>
    </row>
    <row r="75" spans="1:15" x14ac:dyDescent="0.2">
      <c r="A75" s="20" t="s">
        <v>527</v>
      </c>
      <c r="B75" s="20" t="s">
        <v>528</v>
      </c>
      <c r="C75" s="20" t="s">
        <v>367</v>
      </c>
      <c r="D75" s="20"/>
      <c r="E75" s="20"/>
      <c r="F75" s="20"/>
      <c r="G75" s="20"/>
      <c r="H75" s="20"/>
      <c r="I75" s="20"/>
      <c r="J75" s="20">
        <v>-1.08034578285814</v>
      </c>
      <c r="K75" s="20" t="s">
        <v>414</v>
      </c>
      <c r="L75" s="20" t="s">
        <v>363</v>
      </c>
      <c r="M75" s="20">
        <v>78.644999999999996</v>
      </c>
      <c r="N75" s="20" t="s">
        <v>365</v>
      </c>
      <c r="O75" s="20">
        <v>0.88391881918819193</v>
      </c>
    </row>
    <row r="76" spans="1:15" x14ac:dyDescent="0.2">
      <c r="A76" s="20" t="s">
        <v>529</v>
      </c>
      <c r="B76" s="20" t="s">
        <v>530</v>
      </c>
      <c r="C76" s="20" t="s">
        <v>367</v>
      </c>
      <c r="D76" s="20"/>
      <c r="E76" s="20"/>
      <c r="F76" s="20"/>
      <c r="G76" s="20"/>
      <c r="H76" s="20"/>
      <c r="I76" s="20"/>
      <c r="J76" s="20">
        <v>-1.08034578285814</v>
      </c>
      <c r="K76" s="20" t="s">
        <v>414</v>
      </c>
      <c r="L76" s="20" t="s">
        <v>363</v>
      </c>
      <c r="M76" s="20">
        <v>200</v>
      </c>
      <c r="N76" s="20" t="s">
        <v>365</v>
      </c>
      <c r="O76" s="20">
        <v>0.82891360136869119</v>
      </c>
    </row>
    <row r="77" spans="1:15" x14ac:dyDescent="0.2">
      <c r="A77" s="20" t="s">
        <v>531</v>
      </c>
      <c r="B77" s="20" t="s">
        <v>532</v>
      </c>
      <c r="C77" s="20" t="s">
        <v>367</v>
      </c>
      <c r="D77" s="20"/>
      <c r="E77" s="20"/>
      <c r="F77" s="20"/>
      <c r="G77" s="20"/>
      <c r="H77" s="20"/>
      <c r="I77" s="20"/>
      <c r="J77" s="20">
        <v>-1.08034578285814</v>
      </c>
      <c r="K77" s="20" t="s">
        <v>414</v>
      </c>
      <c r="L77" s="20" t="s">
        <v>363</v>
      </c>
      <c r="M77" s="20">
        <v>86.63</v>
      </c>
      <c r="N77" s="20" t="s">
        <v>365</v>
      </c>
      <c r="O77" s="20">
        <v>0.90353006681514481</v>
      </c>
    </row>
    <row r="78" spans="1:15" x14ac:dyDescent="0.2">
      <c r="A78" s="20" t="s">
        <v>533</v>
      </c>
      <c r="B78" s="20" t="s">
        <v>534</v>
      </c>
      <c r="C78" s="20" t="s">
        <v>367</v>
      </c>
      <c r="D78" s="20">
        <v>1999</v>
      </c>
      <c r="E78" s="20">
        <v>141</v>
      </c>
      <c r="F78" s="20">
        <v>32.5635103926097</v>
      </c>
      <c r="G78" s="20" t="s">
        <v>510</v>
      </c>
      <c r="H78" s="20">
        <v>1</v>
      </c>
      <c r="I78" s="20">
        <v>-9.4537357036206622</v>
      </c>
      <c r="J78" s="20">
        <v>-9.4537357036206622</v>
      </c>
      <c r="K78" s="20" t="s">
        <v>369</v>
      </c>
      <c r="L78" s="20" t="s">
        <v>370</v>
      </c>
      <c r="M78" s="20">
        <v>488.57833333333338</v>
      </c>
      <c r="N78" s="20" t="s">
        <v>365</v>
      </c>
      <c r="O78" s="20">
        <v>0.64557571950918602</v>
      </c>
    </row>
    <row r="79" spans="1:15" x14ac:dyDescent="0.2">
      <c r="A79" s="20" t="s">
        <v>535</v>
      </c>
      <c r="B79" s="20" t="s">
        <v>536</v>
      </c>
      <c r="C79" s="20" t="s">
        <v>367</v>
      </c>
      <c r="D79" s="20">
        <v>900</v>
      </c>
      <c r="E79" s="20">
        <v>64</v>
      </c>
      <c r="F79" s="20">
        <v>14.78060046189376</v>
      </c>
      <c r="G79" s="20" t="s">
        <v>463</v>
      </c>
      <c r="H79" s="20"/>
      <c r="I79" s="20"/>
      <c r="J79" s="20">
        <v>-2.3697537837821541</v>
      </c>
      <c r="K79" s="20" t="s">
        <v>364</v>
      </c>
      <c r="L79" s="20" t="s">
        <v>363</v>
      </c>
      <c r="M79" s="20">
        <v>270</v>
      </c>
      <c r="N79" s="20" t="s">
        <v>373</v>
      </c>
      <c r="O79" s="20"/>
    </row>
    <row r="80" spans="1:15" x14ac:dyDescent="0.2">
      <c r="A80" s="20" t="s">
        <v>537</v>
      </c>
      <c r="B80" s="20" t="s">
        <v>538</v>
      </c>
      <c r="C80" s="20" t="s">
        <v>367</v>
      </c>
      <c r="D80" s="20">
        <v>699</v>
      </c>
      <c r="E80" s="20">
        <v>32</v>
      </c>
      <c r="F80" s="20">
        <v>7.3903002309468819</v>
      </c>
      <c r="G80" s="20" t="s">
        <v>463</v>
      </c>
      <c r="H80" s="20"/>
      <c r="I80" s="20"/>
      <c r="J80" s="20">
        <v>-2.3697537837821541</v>
      </c>
      <c r="K80" s="20" t="s">
        <v>364</v>
      </c>
      <c r="L80" s="20" t="s">
        <v>363</v>
      </c>
      <c r="M80" s="20">
        <v>60.65</v>
      </c>
      <c r="N80" s="20" t="s">
        <v>365</v>
      </c>
      <c r="O80" s="20">
        <v>0.81135303265940906</v>
      </c>
    </row>
    <row r="81" spans="1:15" x14ac:dyDescent="0.2">
      <c r="A81" s="20" t="s">
        <v>539</v>
      </c>
      <c r="B81" s="20" t="s">
        <v>540</v>
      </c>
      <c r="C81" s="20" t="s">
        <v>367</v>
      </c>
      <c r="D81" s="20">
        <v>531.26943005181352</v>
      </c>
      <c r="E81" s="20">
        <v>1544</v>
      </c>
      <c r="F81" s="20">
        <v>356.58198614318712</v>
      </c>
      <c r="G81" s="20" t="s">
        <v>409</v>
      </c>
      <c r="H81" s="20"/>
      <c r="I81" s="20"/>
      <c r="J81" s="20">
        <v>-1.273147819780216</v>
      </c>
      <c r="K81" s="20" t="s">
        <v>364</v>
      </c>
      <c r="L81" s="20" t="s">
        <v>363</v>
      </c>
      <c r="M81" s="20">
        <v>60.670459363957598</v>
      </c>
      <c r="N81" s="20" t="s">
        <v>365</v>
      </c>
      <c r="O81" s="20">
        <v>0.81949264250623499</v>
      </c>
    </row>
    <row r="82" spans="1:15" x14ac:dyDescent="0.2">
      <c r="A82" s="20" t="s">
        <v>119</v>
      </c>
      <c r="B82" s="20" t="s">
        <v>120</v>
      </c>
      <c r="C82" s="20" t="s">
        <v>367</v>
      </c>
      <c r="D82" s="20">
        <v>683.88888888888891</v>
      </c>
      <c r="E82" s="20">
        <v>225</v>
      </c>
      <c r="F82" s="20">
        <v>51.963048498845268</v>
      </c>
      <c r="G82" s="20" t="s">
        <v>463</v>
      </c>
      <c r="H82" s="20"/>
      <c r="I82" s="20"/>
      <c r="J82" s="20">
        <v>-2.3697537837821541</v>
      </c>
      <c r="K82" s="20" t="s">
        <v>364</v>
      </c>
      <c r="L82" s="20" t="s">
        <v>363</v>
      </c>
      <c r="M82" s="20">
        <v>250.51217391304351</v>
      </c>
      <c r="N82" s="20" t="s">
        <v>365</v>
      </c>
      <c r="O82" s="20">
        <v>0.64015152827084598</v>
      </c>
    </row>
    <row r="83" spans="1:15" x14ac:dyDescent="0.2">
      <c r="A83" s="20" t="s">
        <v>541</v>
      </c>
      <c r="B83" s="20" t="s">
        <v>542</v>
      </c>
      <c r="C83" s="20" t="s">
        <v>367</v>
      </c>
      <c r="D83" s="20">
        <v>450</v>
      </c>
      <c r="E83" s="20">
        <v>12</v>
      </c>
      <c r="F83" s="20">
        <v>2.7713625866050808</v>
      </c>
      <c r="G83" s="20" t="s">
        <v>409</v>
      </c>
      <c r="H83" s="20"/>
      <c r="I83" s="20"/>
      <c r="J83" s="20">
        <v>-1.273147819780216</v>
      </c>
      <c r="K83" s="20" t="s">
        <v>364</v>
      </c>
      <c r="L83" s="20" t="s">
        <v>363</v>
      </c>
      <c r="M83" s="20">
        <v>135</v>
      </c>
      <c r="N83" s="20" t="s">
        <v>373</v>
      </c>
      <c r="O83" s="20"/>
    </row>
    <row r="84" spans="1:15" x14ac:dyDescent="0.2">
      <c r="A84" s="20" t="s">
        <v>543</v>
      </c>
      <c r="B84" s="20" t="s">
        <v>544</v>
      </c>
      <c r="C84" s="20" t="s">
        <v>367</v>
      </c>
      <c r="D84" s="20">
        <v>492.5</v>
      </c>
      <c r="E84" s="20">
        <v>22</v>
      </c>
      <c r="F84" s="20">
        <v>5.0808314087759818</v>
      </c>
      <c r="G84" s="20" t="s">
        <v>409</v>
      </c>
      <c r="H84" s="20">
        <v>3</v>
      </c>
      <c r="I84" s="20">
        <v>-0.79311722716077815</v>
      </c>
      <c r="J84" s="20">
        <v>-0.79311722716077815</v>
      </c>
      <c r="K84" s="20" t="s">
        <v>369</v>
      </c>
      <c r="L84" s="20" t="s">
        <v>368</v>
      </c>
      <c r="M84" s="20">
        <v>54.88</v>
      </c>
      <c r="N84" s="20" t="s">
        <v>365</v>
      </c>
      <c r="O84" s="20">
        <v>0.89606060606060611</v>
      </c>
    </row>
    <row r="85" spans="1:15" x14ac:dyDescent="0.2">
      <c r="A85" s="20" t="s">
        <v>545</v>
      </c>
      <c r="B85" s="20" t="s">
        <v>546</v>
      </c>
      <c r="C85" s="20" t="s">
        <v>367</v>
      </c>
      <c r="D85" s="20">
        <v>867.55737704918033</v>
      </c>
      <c r="E85" s="20">
        <v>61</v>
      </c>
      <c r="F85" s="20">
        <v>14.087759815242491</v>
      </c>
      <c r="G85" s="20" t="s">
        <v>463</v>
      </c>
      <c r="H85" s="20">
        <v>5</v>
      </c>
      <c r="I85" s="20">
        <v>-6.0652407861355666</v>
      </c>
      <c r="J85" s="20">
        <v>-6.0652407861355666</v>
      </c>
      <c r="K85" s="20" t="s">
        <v>369</v>
      </c>
      <c r="L85" s="20" t="s">
        <v>370</v>
      </c>
      <c r="M85" s="20">
        <v>243.70666666666671</v>
      </c>
      <c r="N85" s="20" t="s">
        <v>365</v>
      </c>
      <c r="O85" s="20">
        <v>0.6759326909247807</v>
      </c>
    </row>
    <row r="86" spans="1:15" x14ac:dyDescent="0.2">
      <c r="A86" s="20" t="s">
        <v>547</v>
      </c>
      <c r="B86" s="20" t="s">
        <v>548</v>
      </c>
      <c r="C86" s="20" t="s">
        <v>367</v>
      </c>
      <c r="D86" s="20">
        <v>3000</v>
      </c>
      <c r="E86" s="20">
        <v>37</v>
      </c>
      <c r="F86" s="20">
        <v>8.5450346420323324</v>
      </c>
      <c r="G86" s="20" t="s">
        <v>549</v>
      </c>
      <c r="H86" s="20"/>
      <c r="I86" s="20"/>
      <c r="J86" s="20">
        <v>-2.4226511382014659</v>
      </c>
      <c r="K86" s="20" t="s">
        <v>364</v>
      </c>
      <c r="L86" s="20" t="s">
        <v>363</v>
      </c>
      <c r="M86" s="20">
        <v>495.5</v>
      </c>
      <c r="N86" s="20" t="s">
        <v>365</v>
      </c>
      <c r="O86" s="20">
        <v>0.63311666096476227</v>
      </c>
    </row>
    <row r="87" spans="1:15" x14ac:dyDescent="0.2">
      <c r="A87" s="20" t="s">
        <v>550</v>
      </c>
      <c r="B87" s="20" t="s">
        <v>551</v>
      </c>
      <c r="C87" s="20" t="s">
        <v>367</v>
      </c>
      <c r="D87" s="20">
        <v>1449</v>
      </c>
      <c r="E87" s="20">
        <v>30</v>
      </c>
      <c r="F87" s="20">
        <v>6.9284064665127021</v>
      </c>
      <c r="G87" s="20" t="s">
        <v>452</v>
      </c>
      <c r="H87" s="20">
        <v>1</v>
      </c>
      <c r="I87" s="20">
        <v>3.0188657989057912</v>
      </c>
      <c r="J87" s="20">
        <v>3.0188657989057912</v>
      </c>
      <c r="K87" s="20" t="s">
        <v>369</v>
      </c>
      <c r="L87" s="20" t="s">
        <v>370</v>
      </c>
      <c r="M87" s="20">
        <v>434.7</v>
      </c>
      <c r="N87" s="20" t="s">
        <v>373</v>
      </c>
      <c r="O87" s="20"/>
    </row>
    <row r="88" spans="1:15" x14ac:dyDescent="0.2">
      <c r="A88" s="20" t="s">
        <v>552</v>
      </c>
      <c r="B88" s="20" t="s">
        <v>553</v>
      </c>
      <c r="C88" s="20" t="s">
        <v>367</v>
      </c>
      <c r="D88" s="20">
        <v>575</v>
      </c>
      <c r="E88" s="20">
        <v>40</v>
      </c>
      <c r="F88" s="20">
        <v>9.2378752886836022</v>
      </c>
      <c r="G88" s="20" t="s">
        <v>409</v>
      </c>
      <c r="H88" s="20"/>
      <c r="I88" s="20"/>
      <c r="J88" s="20">
        <v>-1.273147819780216</v>
      </c>
      <c r="K88" s="20" t="s">
        <v>364</v>
      </c>
      <c r="L88" s="20" t="s">
        <v>363</v>
      </c>
      <c r="M88" s="20">
        <v>114.486</v>
      </c>
      <c r="N88" s="20" t="s">
        <v>365</v>
      </c>
      <c r="O88" s="20">
        <v>0.84520551649540299</v>
      </c>
    </row>
    <row r="89" spans="1:15" x14ac:dyDescent="0.2">
      <c r="A89" s="20" t="s">
        <v>554</v>
      </c>
      <c r="B89" s="20" t="s">
        <v>555</v>
      </c>
      <c r="C89" s="20" t="s">
        <v>367</v>
      </c>
      <c r="D89" s="20">
        <v>749</v>
      </c>
      <c r="E89" s="20">
        <v>21</v>
      </c>
      <c r="F89" s="20">
        <v>4.849884526558891</v>
      </c>
      <c r="G89" s="20" t="s">
        <v>463</v>
      </c>
      <c r="H89" s="20"/>
      <c r="I89" s="20"/>
      <c r="J89" s="20">
        <v>-2.3697537837821541</v>
      </c>
      <c r="K89" s="20" t="s">
        <v>364</v>
      </c>
      <c r="L89" s="20" t="s">
        <v>363</v>
      </c>
      <c r="M89" s="20">
        <v>78.98</v>
      </c>
      <c r="N89" s="20" t="s">
        <v>365</v>
      </c>
      <c r="O89" s="20">
        <v>0.42867680362342281</v>
      </c>
    </row>
    <row r="90" spans="1:15" x14ac:dyDescent="0.2">
      <c r="A90" s="20" t="s">
        <v>556</v>
      </c>
      <c r="B90" s="20" t="s">
        <v>557</v>
      </c>
      <c r="C90" s="20" t="s">
        <v>367</v>
      </c>
      <c r="D90" s="20">
        <v>3299</v>
      </c>
      <c r="E90" s="20">
        <v>11</v>
      </c>
      <c r="F90" s="20">
        <v>2.5404157043879909</v>
      </c>
      <c r="G90" s="20" t="s">
        <v>549</v>
      </c>
      <c r="H90" s="20"/>
      <c r="I90" s="20"/>
      <c r="J90" s="20">
        <v>-2.4226511382014659</v>
      </c>
      <c r="K90" s="20" t="s">
        <v>364</v>
      </c>
      <c r="L90" s="20" t="s">
        <v>363</v>
      </c>
      <c r="M90" s="20">
        <v>654.95545454545459</v>
      </c>
      <c r="N90" s="20" t="s">
        <v>365</v>
      </c>
      <c r="O90" s="20">
        <v>0.68942126471428111</v>
      </c>
    </row>
    <row r="91" spans="1:15" x14ac:dyDescent="0.2">
      <c r="A91" s="20" t="s">
        <v>558</v>
      </c>
      <c r="B91" s="20" t="s">
        <v>559</v>
      </c>
      <c r="C91" s="20" t="s">
        <v>367</v>
      </c>
      <c r="D91" s="20">
        <v>1599</v>
      </c>
      <c r="E91" s="20">
        <v>71</v>
      </c>
      <c r="F91" s="20">
        <v>16.397228637413399</v>
      </c>
      <c r="G91" s="20" t="s">
        <v>510</v>
      </c>
      <c r="H91" s="20"/>
      <c r="I91" s="20"/>
      <c r="J91" s="20">
        <v>-1.1188814656814181</v>
      </c>
      <c r="K91" s="20" t="s">
        <v>364</v>
      </c>
      <c r="L91" s="20" t="s">
        <v>363</v>
      </c>
      <c r="M91" s="20">
        <v>479.7</v>
      </c>
      <c r="N91" s="20" t="s">
        <v>373</v>
      </c>
      <c r="O91" s="20"/>
    </row>
    <row r="92" spans="1:15" x14ac:dyDescent="0.2">
      <c r="A92" s="20" t="s">
        <v>560</v>
      </c>
      <c r="B92" s="20" t="s">
        <v>561</v>
      </c>
      <c r="C92" s="20" t="s">
        <v>362</v>
      </c>
      <c r="D92" s="20"/>
      <c r="E92" s="20"/>
      <c r="F92" s="20"/>
      <c r="G92" s="20"/>
      <c r="H92" s="20"/>
      <c r="I92" s="20"/>
      <c r="J92" s="20">
        <v>-1.384113661892663</v>
      </c>
      <c r="K92" s="20" t="s">
        <v>414</v>
      </c>
      <c r="L92" s="20" t="s">
        <v>363</v>
      </c>
      <c r="M92" s="20">
        <v>239.0171428571428</v>
      </c>
      <c r="N92" s="20" t="s">
        <v>365</v>
      </c>
      <c r="O92" s="20">
        <v>0.89915496353444646</v>
      </c>
    </row>
    <row r="93" spans="1:15" x14ac:dyDescent="0.2">
      <c r="A93" s="20" t="s">
        <v>562</v>
      </c>
      <c r="B93" s="20" t="s">
        <v>563</v>
      </c>
      <c r="C93" s="20" t="s">
        <v>367</v>
      </c>
      <c r="D93" s="20">
        <v>1499</v>
      </c>
      <c r="E93" s="20">
        <v>15</v>
      </c>
      <c r="F93" s="20">
        <v>3.464203233256351</v>
      </c>
      <c r="G93" s="20" t="s">
        <v>452</v>
      </c>
      <c r="H93" s="20"/>
      <c r="I93" s="20"/>
      <c r="J93" s="20">
        <v>3.1718382023897091</v>
      </c>
      <c r="K93" s="20" t="s">
        <v>364</v>
      </c>
      <c r="L93" s="20" t="s">
        <v>363</v>
      </c>
      <c r="M93" s="20">
        <v>92.030000000000015</v>
      </c>
      <c r="N93" s="20" t="s">
        <v>365</v>
      </c>
      <c r="O93" s="20">
        <v>0.69870723136674673</v>
      </c>
    </row>
    <row r="94" spans="1:15" x14ac:dyDescent="0.2">
      <c r="A94" s="20" t="s">
        <v>564</v>
      </c>
      <c r="B94" s="20" t="s">
        <v>565</v>
      </c>
      <c r="C94" s="20" t="s">
        <v>367</v>
      </c>
      <c r="D94" s="20"/>
      <c r="E94" s="20"/>
      <c r="F94" s="20"/>
      <c r="G94" s="20"/>
      <c r="H94" s="20"/>
      <c r="I94" s="20"/>
      <c r="J94" s="20">
        <v>-1.08034578285814</v>
      </c>
      <c r="K94" s="20" t="s">
        <v>414</v>
      </c>
      <c r="L94" s="20" t="s">
        <v>363</v>
      </c>
      <c r="M94" s="20">
        <v>181.39</v>
      </c>
      <c r="N94" s="20" t="s">
        <v>365</v>
      </c>
      <c r="O94" s="20">
        <v>0.85465544871794885</v>
      </c>
    </row>
    <row r="95" spans="1:15" x14ac:dyDescent="0.2">
      <c r="A95" s="20" t="s">
        <v>566</v>
      </c>
      <c r="B95" s="20" t="s">
        <v>567</v>
      </c>
      <c r="C95" s="20" t="s">
        <v>367</v>
      </c>
      <c r="D95" s="20"/>
      <c r="E95" s="20"/>
      <c r="F95" s="20"/>
      <c r="G95" s="20"/>
      <c r="H95" s="20"/>
      <c r="I95" s="20"/>
      <c r="J95" s="20">
        <v>-1.08034578285814</v>
      </c>
      <c r="K95" s="20" t="s">
        <v>414</v>
      </c>
      <c r="L95" s="20" t="s">
        <v>363</v>
      </c>
      <c r="M95" s="20">
        <v>40</v>
      </c>
      <c r="N95" s="20" t="s">
        <v>365</v>
      </c>
      <c r="O95" s="20">
        <v>0.97712978845054321</v>
      </c>
    </row>
    <row r="96" spans="1:15" x14ac:dyDescent="0.2">
      <c r="A96" s="20" t="s">
        <v>568</v>
      </c>
      <c r="B96" s="20" t="s">
        <v>569</v>
      </c>
      <c r="C96" s="20" t="s">
        <v>362</v>
      </c>
      <c r="D96" s="20">
        <v>849</v>
      </c>
      <c r="E96" s="20">
        <v>71</v>
      </c>
      <c r="F96" s="20">
        <v>16.397228637413399</v>
      </c>
      <c r="G96" s="20" t="s">
        <v>463</v>
      </c>
      <c r="H96" s="20"/>
      <c r="I96" s="20"/>
      <c r="J96" s="20">
        <v>-2.6197664336783242</v>
      </c>
      <c r="K96" s="20" t="s">
        <v>364</v>
      </c>
      <c r="L96" s="20" t="s">
        <v>363</v>
      </c>
      <c r="M96" s="20">
        <v>8.43</v>
      </c>
      <c r="N96" s="20" t="s">
        <v>365</v>
      </c>
      <c r="O96" s="20">
        <v>0.98958269961977186</v>
      </c>
    </row>
    <row r="97" spans="1:15" x14ac:dyDescent="0.2">
      <c r="A97" s="20" t="s">
        <v>570</v>
      </c>
      <c r="B97" s="20" t="s">
        <v>571</v>
      </c>
      <c r="C97" s="20" t="s">
        <v>367</v>
      </c>
      <c r="D97" s="20">
        <v>188.89130434782609</v>
      </c>
      <c r="E97" s="20">
        <v>184</v>
      </c>
      <c r="F97" s="20">
        <v>42.494226327944567</v>
      </c>
      <c r="G97" s="20" t="s">
        <v>439</v>
      </c>
      <c r="H97" s="20">
        <v>4</v>
      </c>
      <c r="I97" s="20">
        <v>1.004930101759409</v>
      </c>
      <c r="J97" s="20">
        <v>1.004930101759409</v>
      </c>
      <c r="K97" s="20" t="s">
        <v>369</v>
      </c>
      <c r="L97" s="20" t="s">
        <v>368</v>
      </c>
      <c r="M97" s="20">
        <v>56.667391304347817</v>
      </c>
      <c r="N97" s="20" t="s">
        <v>373</v>
      </c>
      <c r="O97" s="20">
        <v>0</v>
      </c>
    </row>
    <row r="98" spans="1:15" x14ac:dyDescent="0.2">
      <c r="A98" s="20" t="s">
        <v>572</v>
      </c>
      <c r="B98" s="20" t="s">
        <v>573</v>
      </c>
      <c r="C98" s="20" t="s">
        <v>367</v>
      </c>
      <c r="D98" s="20">
        <v>1130</v>
      </c>
      <c r="E98" s="20">
        <v>25</v>
      </c>
      <c r="F98" s="20">
        <v>5.7736720554272516</v>
      </c>
      <c r="G98" s="20" t="s">
        <v>452</v>
      </c>
      <c r="H98" s="20">
        <v>2</v>
      </c>
      <c r="I98" s="20">
        <v>7.0505427924856603</v>
      </c>
      <c r="J98" s="20">
        <v>7.0505427924856603</v>
      </c>
      <c r="K98" s="20" t="s">
        <v>369</v>
      </c>
      <c r="L98" s="20" t="s">
        <v>368</v>
      </c>
      <c r="M98" s="20">
        <v>339</v>
      </c>
      <c r="N98" s="20" t="s">
        <v>373</v>
      </c>
      <c r="O98" s="20">
        <v>0</v>
      </c>
    </row>
    <row r="99" spans="1:15" x14ac:dyDescent="0.2">
      <c r="A99" s="20" t="s">
        <v>574</v>
      </c>
      <c r="B99" s="20" t="s">
        <v>575</v>
      </c>
      <c r="C99" s="20" t="s">
        <v>367</v>
      </c>
      <c r="D99" s="20">
        <v>1795.7777777777781</v>
      </c>
      <c r="E99" s="20">
        <v>54</v>
      </c>
      <c r="F99" s="20">
        <v>12.471131639722859</v>
      </c>
      <c r="G99" s="20" t="s">
        <v>510</v>
      </c>
      <c r="H99" s="20">
        <v>6</v>
      </c>
      <c r="I99" s="20">
        <v>1.827169177836629</v>
      </c>
      <c r="J99" s="20">
        <v>1.827169177836629</v>
      </c>
      <c r="K99" s="20" t="s">
        <v>369</v>
      </c>
      <c r="L99" s="20" t="s">
        <v>368</v>
      </c>
      <c r="M99" s="20">
        <v>538.73333333333335</v>
      </c>
      <c r="N99" s="20" t="s">
        <v>373</v>
      </c>
      <c r="O99" s="20"/>
    </row>
    <row r="100" spans="1:15" x14ac:dyDescent="0.2">
      <c r="A100" s="20" t="s">
        <v>576</v>
      </c>
      <c r="B100" s="20" t="s">
        <v>577</v>
      </c>
      <c r="C100" s="20" t="s">
        <v>367</v>
      </c>
      <c r="D100" s="20">
        <v>1799</v>
      </c>
      <c r="E100" s="20">
        <v>106</v>
      </c>
      <c r="F100" s="20">
        <v>24.480369515011549</v>
      </c>
      <c r="G100" s="20" t="s">
        <v>510</v>
      </c>
      <c r="H100" s="20">
        <v>4</v>
      </c>
      <c r="I100" s="20">
        <v>-1.466843852867953</v>
      </c>
      <c r="J100" s="20">
        <v>-1.466843852867953</v>
      </c>
      <c r="K100" s="20" t="s">
        <v>369</v>
      </c>
      <c r="L100" s="20" t="s">
        <v>368</v>
      </c>
      <c r="M100" s="20">
        <v>375.68</v>
      </c>
      <c r="N100" s="20" t="s">
        <v>365</v>
      </c>
      <c r="O100" s="20">
        <v>0.77082202226628027</v>
      </c>
    </row>
    <row r="101" spans="1:15" x14ac:dyDescent="0.2">
      <c r="A101" s="20" t="s">
        <v>578</v>
      </c>
      <c r="B101" s="20" t="s">
        <v>579</v>
      </c>
      <c r="C101" s="20" t="s">
        <v>367</v>
      </c>
      <c r="D101" s="20">
        <v>2999</v>
      </c>
      <c r="E101" s="20">
        <v>15</v>
      </c>
      <c r="F101" s="20">
        <v>3.464203233256351</v>
      </c>
      <c r="G101" s="20" t="s">
        <v>549</v>
      </c>
      <c r="H101" s="20">
        <v>1</v>
      </c>
      <c r="I101" s="20">
        <v>-2.4226511382014659</v>
      </c>
      <c r="J101" s="20">
        <v>-2.4226511382014659</v>
      </c>
      <c r="K101" s="20" t="s">
        <v>369</v>
      </c>
      <c r="L101" s="20" t="s">
        <v>370</v>
      </c>
      <c r="M101" s="20">
        <v>549.9</v>
      </c>
      <c r="N101" s="20" t="s">
        <v>365</v>
      </c>
      <c r="O101" s="20">
        <v>0.29391002072331041</v>
      </c>
    </row>
    <row r="102" spans="1:15" x14ac:dyDescent="0.2">
      <c r="A102" s="20" t="s">
        <v>580</v>
      </c>
      <c r="B102" s="20" t="s">
        <v>581</v>
      </c>
      <c r="C102" s="20" t="s">
        <v>367</v>
      </c>
      <c r="D102" s="20">
        <v>935.69503546099293</v>
      </c>
      <c r="E102" s="20">
        <v>282</v>
      </c>
      <c r="F102" s="20">
        <v>65.127020785219401</v>
      </c>
      <c r="G102" s="20" t="s">
        <v>463</v>
      </c>
      <c r="H102" s="20">
        <v>1</v>
      </c>
      <c r="I102" s="20">
        <v>4.7044903064414591E-2</v>
      </c>
      <c r="J102" s="20">
        <v>4.7044903064414591E-2</v>
      </c>
      <c r="K102" s="20" t="s">
        <v>369</v>
      </c>
      <c r="L102" s="20" t="s">
        <v>370</v>
      </c>
      <c r="M102" s="20">
        <v>420.78199999999998</v>
      </c>
      <c r="N102" s="20" t="s">
        <v>365</v>
      </c>
      <c r="O102" s="20">
        <v>0.78412579519802994</v>
      </c>
    </row>
    <row r="103" spans="1:15" x14ac:dyDescent="0.2">
      <c r="A103" s="20" t="s">
        <v>111</v>
      </c>
      <c r="B103" s="20" t="s">
        <v>112</v>
      </c>
      <c r="C103" s="20" t="s">
        <v>367</v>
      </c>
      <c r="D103" s="20">
        <v>573.99701492537315</v>
      </c>
      <c r="E103" s="20">
        <v>335</v>
      </c>
      <c r="F103" s="20">
        <v>77.367205542725173</v>
      </c>
      <c r="G103" s="20" t="s">
        <v>409</v>
      </c>
      <c r="H103" s="20">
        <v>3</v>
      </c>
      <c r="I103" s="20">
        <v>-1.832149505494403</v>
      </c>
      <c r="J103" s="20">
        <v>-1.832149505494403</v>
      </c>
      <c r="K103" s="20" t="s">
        <v>369</v>
      </c>
      <c r="L103" s="20" t="s">
        <v>368</v>
      </c>
      <c r="M103" s="20">
        <v>80.849999999999994</v>
      </c>
      <c r="N103" s="20" t="s">
        <v>365</v>
      </c>
      <c r="O103" s="20">
        <v>0.73299704724409442</v>
      </c>
    </row>
    <row r="104" spans="1:15" x14ac:dyDescent="0.2">
      <c r="A104" s="20" t="s">
        <v>582</v>
      </c>
      <c r="B104" s="20" t="s">
        <v>583</v>
      </c>
      <c r="C104" s="20" t="s">
        <v>367</v>
      </c>
      <c r="D104" s="20">
        <v>1349</v>
      </c>
      <c r="E104" s="20">
        <v>119</v>
      </c>
      <c r="F104" s="20">
        <v>27.482678983833718</v>
      </c>
      <c r="G104" s="20" t="s">
        <v>452</v>
      </c>
      <c r="H104" s="20">
        <v>1</v>
      </c>
      <c r="I104" s="20">
        <v>8.0831999611867236</v>
      </c>
      <c r="J104" s="20">
        <v>8.0831999611867236</v>
      </c>
      <c r="K104" s="20" t="s">
        <v>369</v>
      </c>
      <c r="L104" s="20" t="s">
        <v>370</v>
      </c>
      <c r="M104" s="20">
        <v>280</v>
      </c>
      <c r="N104" s="20" t="s">
        <v>365</v>
      </c>
      <c r="O104" s="20">
        <v>0.72132877988202426</v>
      </c>
    </row>
    <row r="105" spans="1:15" x14ac:dyDescent="0.2">
      <c r="A105" s="20" t="s">
        <v>584</v>
      </c>
      <c r="B105" s="20" t="s">
        <v>585</v>
      </c>
      <c r="C105" s="20" t="s">
        <v>367</v>
      </c>
      <c r="D105" s="20"/>
      <c r="E105" s="20"/>
      <c r="F105" s="20"/>
      <c r="G105" s="20"/>
      <c r="H105" s="20"/>
      <c r="I105" s="20"/>
      <c r="J105" s="20">
        <v>-1.08034578285814</v>
      </c>
      <c r="K105" s="20" t="s">
        <v>414</v>
      </c>
      <c r="L105" s="20" t="s">
        <v>363</v>
      </c>
      <c r="M105" s="20">
        <v>415.6</v>
      </c>
      <c r="N105" s="20" t="s">
        <v>365</v>
      </c>
      <c r="O105" s="20">
        <v>0.72977893368010405</v>
      </c>
    </row>
    <row r="106" spans="1:15" x14ac:dyDescent="0.2">
      <c r="A106" s="20" t="s">
        <v>586</v>
      </c>
      <c r="B106" s="20" t="s">
        <v>587</v>
      </c>
      <c r="C106" s="20" t="s">
        <v>367</v>
      </c>
      <c r="D106" s="20">
        <v>403.13186813186809</v>
      </c>
      <c r="E106" s="20">
        <v>2639</v>
      </c>
      <c r="F106" s="20">
        <v>609.46882217090069</v>
      </c>
      <c r="G106" s="20" t="s">
        <v>409</v>
      </c>
      <c r="H106" s="20">
        <v>1</v>
      </c>
      <c r="I106" s="20">
        <v>0.62032278790156792</v>
      </c>
      <c r="J106" s="20">
        <v>0.62032278790156792</v>
      </c>
      <c r="K106" s="20" t="s">
        <v>369</v>
      </c>
      <c r="L106" s="20" t="s">
        <v>370</v>
      </c>
      <c r="M106" s="20">
        <v>36.931782945736437</v>
      </c>
      <c r="N106" s="20" t="s">
        <v>365</v>
      </c>
      <c r="O106" s="20">
        <v>0.79727871532285211</v>
      </c>
    </row>
    <row r="107" spans="1:15" x14ac:dyDescent="0.2">
      <c r="A107" s="20" t="s">
        <v>588</v>
      </c>
      <c r="B107" s="20" t="s">
        <v>589</v>
      </c>
      <c r="C107" s="20" t="s">
        <v>367</v>
      </c>
      <c r="D107" s="20">
        <v>600</v>
      </c>
      <c r="E107" s="20">
        <v>23</v>
      </c>
      <c r="F107" s="20">
        <v>5.3117782909930717</v>
      </c>
      <c r="G107" s="20" t="s">
        <v>463</v>
      </c>
      <c r="H107" s="20"/>
      <c r="I107" s="20"/>
      <c r="J107" s="20">
        <v>-2.3697537837821541</v>
      </c>
      <c r="K107" s="20" t="s">
        <v>364</v>
      </c>
      <c r="L107" s="20" t="s">
        <v>363</v>
      </c>
      <c r="M107" s="20">
        <v>180</v>
      </c>
      <c r="N107" s="20" t="s">
        <v>373</v>
      </c>
      <c r="O107" s="20"/>
    </row>
    <row r="108" spans="1:15" x14ac:dyDescent="0.2">
      <c r="A108" s="20" t="s">
        <v>590</v>
      </c>
      <c r="B108" s="20" t="s">
        <v>591</v>
      </c>
      <c r="C108" s="20" t="s">
        <v>367</v>
      </c>
      <c r="D108" s="20">
        <v>1550</v>
      </c>
      <c r="E108" s="20">
        <v>18</v>
      </c>
      <c r="F108" s="20">
        <v>4.1570438799076213</v>
      </c>
      <c r="G108" s="20" t="s">
        <v>510</v>
      </c>
      <c r="H108" s="20"/>
      <c r="I108" s="20"/>
      <c r="J108" s="20">
        <v>-1.1188814656814181</v>
      </c>
      <c r="K108" s="20" t="s">
        <v>364</v>
      </c>
      <c r="L108" s="20" t="s">
        <v>363</v>
      </c>
      <c r="M108" s="20">
        <v>199.54499999999999</v>
      </c>
      <c r="N108" s="20" t="s">
        <v>365</v>
      </c>
      <c r="O108" s="20">
        <v>0.68762213175425613</v>
      </c>
    </row>
    <row r="109" spans="1:15" x14ac:dyDescent="0.2">
      <c r="A109" s="20" t="s">
        <v>592</v>
      </c>
      <c r="B109" s="20" t="s">
        <v>593</v>
      </c>
      <c r="C109" s="20" t="s">
        <v>362</v>
      </c>
      <c r="D109" s="20">
        <v>799</v>
      </c>
      <c r="E109" s="20">
        <v>148</v>
      </c>
      <c r="F109" s="20">
        <v>34.18013856812933</v>
      </c>
      <c r="G109" s="20" t="s">
        <v>463</v>
      </c>
      <c r="H109" s="20">
        <v>1</v>
      </c>
      <c r="I109" s="20">
        <v>-1.861732045830278</v>
      </c>
      <c r="J109" s="20">
        <v>-1.861732045830278</v>
      </c>
      <c r="K109" s="20" t="s">
        <v>369</v>
      </c>
      <c r="L109" s="20" t="s">
        <v>370</v>
      </c>
      <c r="M109" s="20">
        <v>101.44799999999999</v>
      </c>
      <c r="N109" s="20" t="s">
        <v>365</v>
      </c>
      <c r="O109" s="20">
        <v>0.60898119477380863</v>
      </c>
    </row>
    <row r="110" spans="1:15" x14ac:dyDescent="0.2">
      <c r="A110" s="20" t="s">
        <v>594</v>
      </c>
      <c r="B110" s="20" t="s">
        <v>595</v>
      </c>
      <c r="C110" s="20" t="s">
        <v>362</v>
      </c>
      <c r="D110" s="20">
        <v>1141.168674698795</v>
      </c>
      <c r="E110" s="20">
        <v>83</v>
      </c>
      <c r="F110" s="20">
        <v>19.168591224018471</v>
      </c>
      <c r="G110" s="20" t="s">
        <v>452</v>
      </c>
      <c r="H110" s="20">
        <v>1</v>
      </c>
      <c r="I110" s="20">
        <v>-6.5043400140317491</v>
      </c>
      <c r="J110" s="20">
        <v>-6.5043400140317491</v>
      </c>
      <c r="K110" s="20" t="s">
        <v>369</v>
      </c>
      <c r="L110" s="20" t="s">
        <v>370</v>
      </c>
      <c r="M110" s="20">
        <v>257.79000000000002</v>
      </c>
      <c r="N110" s="20" t="s">
        <v>365</v>
      </c>
      <c r="O110" s="20">
        <v>0.50857624831309045</v>
      </c>
    </row>
    <row r="111" spans="1:15" x14ac:dyDescent="0.2">
      <c r="A111" s="20" t="s">
        <v>596</v>
      </c>
      <c r="B111" s="20" t="s">
        <v>597</v>
      </c>
      <c r="C111" s="20" t="s">
        <v>367</v>
      </c>
      <c r="D111" s="20">
        <v>799</v>
      </c>
      <c r="E111" s="20">
        <v>13</v>
      </c>
      <c r="F111" s="20">
        <v>3.0023094688221712</v>
      </c>
      <c r="G111" s="20" t="s">
        <v>463</v>
      </c>
      <c r="H111" s="20">
        <v>2</v>
      </c>
      <c r="I111" s="20">
        <v>3.8742415505207419</v>
      </c>
      <c r="J111" s="20">
        <v>3.8742415505207419</v>
      </c>
      <c r="K111" s="20" t="s">
        <v>369</v>
      </c>
      <c r="L111" s="20" t="s">
        <v>368</v>
      </c>
      <c r="M111" s="20">
        <v>239.7</v>
      </c>
      <c r="N111" s="20" t="s">
        <v>373</v>
      </c>
      <c r="O111" s="20"/>
    </row>
    <row r="112" spans="1:15" x14ac:dyDescent="0.2">
      <c r="A112" s="20" t="s">
        <v>598</v>
      </c>
      <c r="B112" s="20" t="s">
        <v>599</v>
      </c>
      <c r="C112" s="20" t="s">
        <v>367</v>
      </c>
      <c r="D112" s="20">
        <v>370.89439555349702</v>
      </c>
      <c r="E112" s="20">
        <v>2159</v>
      </c>
      <c r="F112" s="20">
        <v>498.61431870669747</v>
      </c>
      <c r="G112" s="20" t="s">
        <v>409</v>
      </c>
      <c r="H112" s="20">
        <v>2</v>
      </c>
      <c r="I112" s="20">
        <v>-1.263496507162335</v>
      </c>
      <c r="J112" s="20">
        <v>-1.263496507162335</v>
      </c>
      <c r="K112" s="20" t="s">
        <v>369</v>
      </c>
      <c r="L112" s="20" t="s">
        <v>370</v>
      </c>
      <c r="M112" s="20">
        <v>50.153500000000001</v>
      </c>
      <c r="N112" s="20" t="s">
        <v>365</v>
      </c>
      <c r="O112" s="20">
        <v>0.66407886117409931</v>
      </c>
    </row>
    <row r="113" spans="1:15" x14ac:dyDescent="0.2">
      <c r="A113" s="20" t="s">
        <v>600</v>
      </c>
      <c r="B113" s="20" t="s">
        <v>601</v>
      </c>
      <c r="C113" s="20" t="s">
        <v>367</v>
      </c>
      <c r="D113" s="20">
        <v>649</v>
      </c>
      <c r="E113" s="20">
        <v>49</v>
      </c>
      <c r="F113" s="20">
        <v>11.31639722863741</v>
      </c>
      <c r="G113" s="20" t="s">
        <v>463</v>
      </c>
      <c r="H113" s="20">
        <v>2</v>
      </c>
      <c r="I113" s="20">
        <v>-1.1477929874846471</v>
      </c>
      <c r="J113" s="20">
        <v>-1.1477929874846471</v>
      </c>
      <c r="K113" s="20" t="s">
        <v>369</v>
      </c>
      <c r="L113" s="20" t="s">
        <v>370</v>
      </c>
      <c r="M113" s="20">
        <v>194.7</v>
      </c>
      <c r="N113" s="20" t="s">
        <v>373</v>
      </c>
      <c r="O113" s="20">
        <v>0</v>
      </c>
    </row>
    <row r="114" spans="1:15" x14ac:dyDescent="0.2">
      <c r="A114" s="20" t="s">
        <v>602</v>
      </c>
      <c r="B114" s="20" t="s">
        <v>603</v>
      </c>
      <c r="C114" s="20" t="s">
        <v>367</v>
      </c>
      <c r="D114" s="20"/>
      <c r="E114" s="20"/>
      <c r="F114" s="20"/>
      <c r="G114" s="20"/>
      <c r="H114" s="20"/>
      <c r="I114" s="20"/>
      <c r="J114" s="20">
        <v>-1.08034578285814</v>
      </c>
      <c r="K114" s="20" t="s">
        <v>414</v>
      </c>
      <c r="L114" s="20" t="s">
        <v>363</v>
      </c>
      <c r="M114" s="20"/>
      <c r="N114" s="20" t="s">
        <v>373</v>
      </c>
      <c r="O114" s="20"/>
    </row>
    <row r="115" spans="1:15" x14ac:dyDescent="0.2">
      <c r="A115" s="20" t="s">
        <v>604</v>
      </c>
      <c r="B115" s="20" t="s">
        <v>605</v>
      </c>
      <c r="C115" s="20" t="s">
        <v>367</v>
      </c>
      <c r="D115" s="20"/>
      <c r="E115" s="20"/>
      <c r="F115" s="20"/>
      <c r="G115" s="20"/>
      <c r="H115" s="20">
        <v>2</v>
      </c>
      <c r="I115" s="20">
        <v>0.48508532092510093</v>
      </c>
      <c r="J115" s="20">
        <v>0.48508532092510093</v>
      </c>
      <c r="K115" s="20" t="s">
        <v>369</v>
      </c>
      <c r="L115" s="20" t="s">
        <v>370</v>
      </c>
      <c r="M115" s="20">
        <v>98.304000000000002</v>
      </c>
      <c r="N115" s="20" t="s">
        <v>365</v>
      </c>
      <c r="O115" s="20">
        <v>0.72933920704845812</v>
      </c>
    </row>
    <row r="116" spans="1:15" x14ac:dyDescent="0.2">
      <c r="A116" s="20" t="s">
        <v>606</v>
      </c>
      <c r="B116" s="20" t="s">
        <v>607</v>
      </c>
      <c r="C116" s="20" t="s">
        <v>367</v>
      </c>
      <c r="D116" s="20">
        <v>1799</v>
      </c>
      <c r="E116" s="20">
        <v>49</v>
      </c>
      <c r="F116" s="20">
        <v>11.31639722863741</v>
      </c>
      <c r="G116" s="20" t="s">
        <v>510</v>
      </c>
      <c r="H116" s="20">
        <v>1</v>
      </c>
      <c r="I116" s="20">
        <v>-10</v>
      </c>
      <c r="J116" s="20">
        <v>-10</v>
      </c>
      <c r="K116" s="20" t="s">
        <v>369</v>
      </c>
      <c r="L116" s="20" t="s">
        <v>370</v>
      </c>
      <c r="M116" s="20">
        <v>539.69999999999993</v>
      </c>
      <c r="N116" s="20" t="s">
        <v>373</v>
      </c>
      <c r="O116" s="20"/>
    </row>
    <row r="117" spans="1:15" x14ac:dyDescent="0.2">
      <c r="A117" s="20" t="s">
        <v>608</v>
      </c>
      <c r="B117" s="20" t="s">
        <v>609</v>
      </c>
      <c r="C117" s="20" t="s">
        <v>362</v>
      </c>
      <c r="D117" s="20"/>
      <c r="E117" s="20"/>
      <c r="F117" s="20"/>
      <c r="G117" s="20"/>
      <c r="H117" s="20"/>
      <c r="I117" s="20"/>
      <c r="J117" s="20">
        <v>-1.384113661892663</v>
      </c>
      <c r="K117" s="20" t="s">
        <v>414</v>
      </c>
      <c r="L117" s="20" t="s">
        <v>363</v>
      </c>
      <c r="M117" s="20"/>
      <c r="N117" s="20" t="s">
        <v>373</v>
      </c>
      <c r="O117" s="20"/>
    </row>
    <row r="118" spans="1:15" x14ac:dyDescent="0.2">
      <c r="A118" s="20" t="s">
        <v>610</v>
      </c>
      <c r="B118" s="20" t="s">
        <v>611</v>
      </c>
      <c r="C118" s="20" t="s">
        <v>362</v>
      </c>
      <c r="D118" s="20"/>
      <c r="E118" s="20"/>
      <c r="F118" s="20"/>
      <c r="G118" s="20"/>
      <c r="H118" s="20"/>
      <c r="I118" s="20"/>
      <c r="J118" s="20">
        <v>-1.384113661892663</v>
      </c>
      <c r="K118" s="20" t="s">
        <v>414</v>
      </c>
      <c r="L118" s="20" t="s">
        <v>363</v>
      </c>
      <c r="M118" s="20"/>
      <c r="N118" s="20" t="s">
        <v>373</v>
      </c>
      <c r="O118" s="20"/>
    </row>
    <row r="119" spans="1:15" x14ac:dyDescent="0.2">
      <c r="A119" s="20" t="s">
        <v>612</v>
      </c>
      <c r="B119" s="20" t="s">
        <v>613</v>
      </c>
      <c r="C119" s="20" t="s">
        <v>362</v>
      </c>
      <c r="D119" s="20">
        <v>0</v>
      </c>
      <c r="E119" s="20">
        <v>43</v>
      </c>
      <c r="F119" s="20">
        <v>9.930715935334872</v>
      </c>
      <c r="G119" s="20" t="s">
        <v>439</v>
      </c>
      <c r="H119" s="20"/>
      <c r="I119" s="20"/>
      <c r="J119" s="20">
        <v>-1.384113661892663</v>
      </c>
      <c r="K119" s="20" t="s">
        <v>414</v>
      </c>
      <c r="L119" s="20" t="s">
        <v>363</v>
      </c>
      <c r="M119" s="20">
        <v>0</v>
      </c>
      <c r="N119" s="20" t="s">
        <v>373</v>
      </c>
      <c r="O119" s="20"/>
    </row>
    <row r="120" spans="1:15" x14ac:dyDescent="0.2">
      <c r="A120" s="20" t="s">
        <v>614</v>
      </c>
      <c r="B120" s="20" t="s">
        <v>615</v>
      </c>
      <c r="C120" s="20" t="s">
        <v>362</v>
      </c>
      <c r="D120" s="20">
        <v>0</v>
      </c>
      <c r="E120" s="20">
        <v>46</v>
      </c>
      <c r="F120" s="20">
        <v>10.62355658198614</v>
      </c>
      <c r="G120" s="20" t="s">
        <v>439</v>
      </c>
      <c r="H120" s="20"/>
      <c r="I120" s="20"/>
      <c r="J120" s="20">
        <v>-1.384113661892663</v>
      </c>
      <c r="K120" s="20" t="s">
        <v>414</v>
      </c>
      <c r="L120" s="20" t="s">
        <v>363</v>
      </c>
      <c r="M120" s="20">
        <v>0</v>
      </c>
      <c r="N120" s="20" t="s">
        <v>373</v>
      </c>
      <c r="O120" s="20"/>
    </row>
    <row r="121" spans="1:15" x14ac:dyDescent="0.2">
      <c r="A121" s="20" t="s">
        <v>616</v>
      </c>
      <c r="B121" s="20" t="s">
        <v>617</v>
      </c>
      <c r="C121" s="20" t="s">
        <v>367</v>
      </c>
      <c r="D121" s="20"/>
      <c r="E121" s="20"/>
      <c r="F121" s="20"/>
      <c r="G121" s="20"/>
      <c r="H121" s="20"/>
      <c r="I121" s="20"/>
      <c r="J121" s="20">
        <v>-1.08034578285814</v>
      </c>
      <c r="K121" s="20" t="s">
        <v>414</v>
      </c>
      <c r="L121" s="20" t="s">
        <v>363</v>
      </c>
      <c r="M121" s="20">
        <v>250</v>
      </c>
      <c r="N121" s="20" t="s">
        <v>365</v>
      </c>
      <c r="O121" s="20">
        <v>0.90530303030303028</v>
      </c>
    </row>
    <row r="122" spans="1:15" x14ac:dyDescent="0.2">
      <c r="A122" s="20" t="s">
        <v>618</v>
      </c>
      <c r="B122" s="20" t="s">
        <v>619</v>
      </c>
      <c r="C122" s="20" t="s">
        <v>367</v>
      </c>
      <c r="D122" s="20">
        <v>149</v>
      </c>
      <c r="E122" s="20">
        <v>45</v>
      </c>
      <c r="F122" s="20">
        <v>10.39260969976905</v>
      </c>
      <c r="G122" s="20" t="s">
        <v>439</v>
      </c>
      <c r="H122" s="20">
        <v>3</v>
      </c>
      <c r="I122" s="20">
        <v>-1.346215034857899</v>
      </c>
      <c r="J122" s="20">
        <v>-1.346215034857899</v>
      </c>
      <c r="K122" s="20" t="s">
        <v>369</v>
      </c>
      <c r="L122" s="20" t="s">
        <v>368</v>
      </c>
      <c r="M122" s="20">
        <v>18.649999999999999</v>
      </c>
      <c r="N122" s="20" t="s">
        <v>365</v>
      </c>
      <c r="O122" s="20">
        <v>0.8631534283774609</v>
      </c>
    </row>
    <row r="123" spans="1:15" x14ac:dyDescent="0.2">
      <c r="A123" s="20" t="s">
        <v>620</v>
      </c>
      <c r="B123" s="20" t="s">
        <v>621</v>
      </c>
      <c r="C123" s="20" t="s">
        <v>367</v>
      </c>
      <c r="D123" s="20">
        <v>133.21818181818179</v>
      </c>
      <c r="E123" s="20">
        <v>275</v>
      </c>
      <c r="F123" s="20">
        <v>63.510392609699771</v>
      </c>
      <c r="G123" s="20" t="s">
        <v>439</v>
      </c>
      <c r="H123" s="20">
        <v>2</v>
      </c>
      <c r="I123" s="20">
        <v>0.20677199009892061</v>
      </c>
      <c r="J123" s="20">
        <v>0.20677199009892061</v>
      </c>
      <c r="K123" s="20" t="s">
        <v>369</v>
      </c>
      <c r="L123" s="20" t="s">
        <v>370</v>
      </c>
      <c r="M123" s="20">
        <v>7.291666666666667</v>
      </c>
      <c r="N123" s="20" t="s">
        <v>365</v>
      </c>
      <c r="O123" s="20">
        <v>0.91258048538880632</v>
      </c>
    </row>
    <row r="124" spans="1:15" x14ac:dyDescent="0.2">
      <c r="A124" s="20" t="s">
        <v>622</v>
      </c>
      <c r="B124" s="20" t="s">
        <v>623</v>
      </c>
      <c r="C124" s="20" t="s">
        <v>367</v>
      </c>
      <c r="D124" s="20"/>
      <c r="E124" s="20"/>
      <c r="F124" s="20"/>
      <c r="G124" s="20"/>
      <c r="H124" s="20"/>
      <c r="I124" s="20"/>
      <c r="J124" s="20">
        <v>-1.08034578285814</v>
      </c>
      <c r="K124" s="20" t="s">
        <v>414</v>
      </c>
      <c r="L124" s="20" t="s">
        <v>363</v>
      </c>
      <c r="M124" s="20">
        <v>176.81666666666669</v>
      </c>
      <c r="N124" s="20" t="s">
        <v>365</v>
      </c>
      <c r="O124" s="20">
        <v>0.6789896907216495</v>
      </c>
    </row>
    <row r="125" spans="1:15" x14ac:dyDescent="0.2">
      <c r="A125" s="20" t="s">
        <v>624</v>
      </c>
      <c r="B125" s="20" t="s">
        <v>625</v>
      </c>
      <c r="C125" s="20" t="s">
        <v>367</v>
      </c>
      <c r="D125" s="20">
        <v>142.05987850737631</v>
      </c>
      <c r="E125" s="20">
        <v>3457</v>
      </c>
      <c r="F125" s="20">
        <v>798.38337182448038</v>
      </c>
      <c r="G125" s="20" t="s">
        <v>439</v>
      </c>
      <c r="H125" s="20">
        <v>3</v>
      </c>
      <c r="I125" s="20">
        <v>0.75247043742545516</v>
      </c>
      <c r="J125" s="20">
        <v>0.75247043742545516</v>
      </c>
      <c r="K125" s="20" t="s">
        <v>369</v>
      </c>
      <c r="L125" s="20" t="s">
        <v>368</v>
      </c>
      <c r="M125" s="20">
        <v>10.103943089430899</v>
      </c>
      <c r="N125" s="20" t="s">
        <v>365</v>
      </c>
      <c r="O125" s="20">
        <v>0.85446820391538558</v>
      </c>
    </row>
    <row r="126" spans="1:15" x14ac:dyDescent="0.2">
      <c r="A126" s="20" t="s">
        <v>626</v>
      </c>
      <c r="B126" s="20" t="s">
        <v>627</v>
      </c>
      <c r="C126" s="20" t="s">
        <v>362</v>
      </c>
      <c r="D126" s="20"/>
      <c r="E126" s="20"/>
      <c r="F126" s="20"/>
      <c r="G126" s="20"/>
      <c r="H126" s="20">
        <v>1</v>
      </c>
      <c r="I126" s="20">
        <v>-1.803508764745043</v>
      </c>
      <c r="J126" s="20">
        <v>-1.803508764745043</v>
      </c>
      <c r="K126" s="20" t="s">
        <v>369</v>
      </c>
      <c r="L126" s="20" t="s">
        <v>370</v>
      </c>
      <c r="M126" s="20"/>
      <c r="N126" s="20" t="s">
        <v>373</v>
      </c>
      <c r="O126" s="20"/>
    </row>
    <row r="127" spans="1:15" x14ac:dyDescent="0.2">
      <c r="A127" s="20" t="s">
        <v>628</v>
      </c>
      <c r="B127" s="20" t="s">
        <v>629</v>
      </c>
      <c r="C127" s="20" t="s">
        <v>367</v>
      </c>
      <c r="D127" s="20">
        <v>159</v>
      </c>
      <c r="E127" s="20">
        <v>13</v>
      </c>
      <c r="F127" s="20">
        <v>3.0023094688221712</v>
      </c>
      <c r="G127" s="20" t="s">
        <v>439</v>
      </c>
      <c r="H127" s="20">
        <v>1</v>
      </c>
      <c r="I127" s="20">
        <v>0.85405286456505414</v>
      </c>
      <c r="J127" s="20">
        <v>0.85405286456505414</v>
      </c>
      <c r="K127" s="20" t="s">
        <v>369</v>
      </c>
      <c r="L127" s="20" t="s">
        <v>370</v>
      </c>
      <c r="M127" s="20">
        <v>47.7</v>
      </c>
      <c r="N127" s="20" t="s">
        <v>373</v>
      </c>
      <c r="O127" s="20"/>
    </row>
    <row r="128" spans="1:15" x14ac:dyDescent="0.2">
      <c r="A128" s="20" t="s">
        <v>630</v>
      </c>
      <c r="B128" s="20" t="s">
        <v>631</v>
      </c>
      <c r="C128" s="20" t="s">
        <v>367</v>
      </c>
      <c r="D128" s="20">
        <v>560.11111111111109</v>
      </c>
      <c r="E128" s="20">
        <v>36</v>
      </c>
      <c r="F128" s="20">
        <v>8.3140877598152425</v>
      </c>
      <c r="G128" s="20" t="s">
        <v>409</v>
      </c>
      <c r="H128" s="20">
        <v>2</v>
      </c>
      <c r="I128" s="20">
        <v>-1.348274842353993</v>
      </c>
      <c r="J128" s="20">
        <v>-1.348274842353993</v>
      </c>
      <c r="K128" s="20" t="s">
        <v>369</v>
      </c>
      <c r="L128" s="20" t="s">
        <v>370</v>
      </c>
      <c r="M128" s="20">
        <v>8.31</v>
      </c>
      <c r="N128" s="20" t="s">
        <v>365</v>
      </c>
      <c r="O128" s="20"/>
    </row>
    <row r="129" spans="1:15" x14ac:dyDescent="0.2">
      <c r="A129" s="20" t="s">
        <v>632</v>
      </c>
      <c r="B129" s="20" t="s">
        <v>633</v>
      </c>
      <c r="C129" s="20" t="s">
        <v>367</v>
      </c>
      <c r="D129" s="20">
        <v>133.25474452554741</v>
      </c>
      <c r="E129" s="20">
        <v>1370</v>
      </c>
      <c r="F129" s="20">
        <v>316.39722863741338</v>
      </c>
      <c r="G129" s="20" t="s">
        <v>439</v>
      </c>
      <c r="H129" s="20">
        <v>3</v>
      </c>
      <c r="I129" s="20">
        <v>-1.103693837988786</v>
      </c>
      <c r="J129" s="20">
        <v>-1.103693837988786</v>
      </c>
      <c r="K129" s="20" t="s">
        <v>369</v>
      </c>
      <c r="L129" s="20" t="s">
        <v>368</v>
      </c>
      <c r="M129" s="20">
        <v>18.228285714285711</v>
      </c>
      <c r="N129" s="20" t="s">
        <v>365</v>
      </c>
      <c r="O129" s="20">
        <v>0.72919641096430687</v>
      </c>
    </row>
    <row r="130" spans="1:15" x14ac:dyDescent="0.2">
      <c r="A130" s="20" t="s">
        <v>634</v>
      </c>
      <c r="B130" s="20" t="s">
        <v>635</v>
      </c>
      <c r="C130" s="20" t="s">
        <v>362</v>
      </c>
      <c r="D130" s="20">
        <v>850</v>
      </c>
      <c r="E130" s="20">
        <v>117</v>
      </c>
      <c r="F130" s="20">
        <v>27.020785219399539</v>
      </c>
      <c r="G130" s="20" t="s">
        <v>463</v>
      </c>
      <c r="H130" s="20"/>
      <c r="I130" s="20"/>
      <c r="J130" s="20">
        <v>-2.6197664336783242</v>
      </c>
      <c r="K130" s="20" t="s">
        <v>364</v>
      </c>
      <c r="L130" s="20" t="s">
        <v>363</v>
      </c>
      <c r="M130" s="20">
        <v>38.31</v>
      </c>
      <c r="N130" s="20" t="s">
        <v>365</v>
      </c>
      <c r="O130" s="20">
        <v>0.73782055168232807</v>
      </c>
    </row>
    <row r="131" spans="1:15" x14ac:dyDescent="0.2">
      <c r="A131" s="20" t="s">
        <v>59</v>
      </c>
      <c r="B131" s="20" t="s">
        <v>60</v>
      </c>
      <c r="C131" s="20" t="s">
        <v>367</v>
      </c>
      <c r="D131" s="20">
        <v>303.10192214504929</v>
      </c>
      <c r="E131" s="20">
        <v>6191</v>
      </c>
      <c r="F131" s="20">
        <v>1429.792147806005</v>
      </c>
      <c r="G131" s="20" t="s">
        <v>409</v>
      </c>
      <c r="H131" s="20">
        <v>1</v>
      </c>
      <c r="I131" s="20">
        <v>-2.8740065288678922</v>
      </c>
      <c r="J131" s="20">
        <v>-2.8740065288678922</v>
      </c>
      <c r="K131" s="20" t="s">
        <v>369</v>
      </c>
      <c r="L131" s="20" t="s">
        <v>370</v>
      </c>
      <c r="M131" s="20">
        <v>35.700013157894738</v>
      </c>
      <c r="N131" s="20" t="s">
        <v>365</v>
      </c>
      <c r="O131" s="20">
        <v>0.80778104829171027</v>
      </c>
    </row>
    <row r="132" spans="1:15" x14ac:dyDescent="0.2">
      <c r="A132" s="20" t="s">
        <v>144</v>
      </c>
      <c r="B132" s="20" t="s">
        <v>145</v>
      </c>
      <c r="C132" s="20" t="s">
        <v>367</v>
      </c>
      <c r="D132" s="20">
        <v>145.65637065637071</v>
      </c>
      <c r="E132" s="20">
        <v>518</v>
      </c>
      <c r="F132" s="20">
        <v>119.63048498845269</v>
      </c>
      <c r="G132" s="20" t="s">
        <v>439</v>
      </c>
      <c r="H132" s="20">
        <v>2</v>
      </c>
      <c r="I132" s="20">
        <v>-0.63314010997159254</v>
      </c>
      <c r="J132" s="20">
        <v>-0.63314010997159254</v>
      </c>
      <c r="K132" s="20" t="s">
        <v>369</v>
      </c>
      <c r="L132" s="20" t="s">
        <v>368</v>
      </c>
      <c r="M132" s="20">
        <v>14.39</v>
      </c>
      <c r="N132" s="20" t="s">
        <v>365</v>
      </c>
      <c r="O132" s="20">
        <v>0.59080321285140569</v>
      </c>
    </row>
    <row r="133" spans="1:15" x14ac:dyDescent="0.2">
      <c r="A133" s="20" t="s">
        <v>116</v>
      </c>
      <c r="B133" s="20" t="s">
        <v>117</v>
      </c>
      <c r="C133" s="20" t="s">
        <v>367</v>
      </c>
      <c r="D133" s="20">
        <v>132.46422893481721</v>
      </c>
      <c r="E133" s="20">
        <v>629</v>
      </c>
      <c r="F133" s="20">
        <v>145.26558891454971</v>
      </c>
      <c r="G133" s="20" t="s">
        <v>439</v>
      </c>
      <c r="H133" s="20">
        <v>4</v>
      </c>
      <c r="I133" s="20">
        <v>-0.37837638686802072</v>
      </c>
      <c r="J133" s="20">
        <v>-0.37837638686802072</v>
      </c>
      <c r="K133" s="20" t="s">
        <v>369</v>
      </c>
      <c r="L133" s="20" t="s">
        <v>370</v>
      </c>
      <c r="M133" s="20">
        <v>33.259310344827583</v>
      </c>
      <c r="N133" s="20" t="s">
        <v>365</v>
      </c>
      <c r="O133" s="20">
        <v>0.72885846438482882</v>
      </c>
    </row>
    <row r="134" spans="1:15" x14ac:dyDescent="0.2">
      <c r="A134" s="20" t="s">
        <v>122</v>
      </c>
      <c r="B134" s="20" t="s">
        <v>123</v>
      </c>
      <c r="C134" s="20" t="s">
        <v>362</v>
      </c>
      <c r="D134" s="20">
        <v>449</v>
      </c>
      <c r="E134" s="20">
        <v>706</v>
      </c>
      <c r="F134" s="20">
        <v>163.04849884526561</v>
      </c>
      <c r="G134" s="20" t="s">
        <v>409</v>
      </c>
      <c r="H134" s="20"/>
      <c r="I134" s="20"/>
      <c r="J134" s="20">
        <v>-0.79078567053692428</v>
      </c>
      <c r="K134" s="20" t="s">
        <v>364</v>
      </c>
      <c r="L134" s="20" t="s">
        <v>363</v>
      </c>
      <c r="M134" s="20">
        <v>44.39</v>
      </c>
      <c r="N134" s="20" t="s">
        <v>365</v>
      </c>
      <c r="O134" s="20">
        <v>0.85634954036991917</v>
      </c>
    </row>
    <row r="135" spans="1:15" x14ac:dyDescent="0.2">
      <c r="A135" s="20" t="s">
        <v>636</v>
      </c>
      <c r="B135" s="20" t="s">
        <v>637</v>
      </c>
      <c r="C135" s="20" t="s">
        <v>367</v>
      </c>
      <c r="D135" s="20">
        <v>499</v>
      </c>
      <c r="E135" s="20">
        <v>11</v>
      </c>
      <c r="F135" s="20">
        <v>2.5404157043879909</v>
      </c>
      <c r="G135" s="20" t="s">
        <v>409</v>
      </c>
      <c r="H135" s="20">
        <v>1</v>
      </c>
      <c r="I135" s="20">
        <v>1.115060489460957</v>
      </c>
      <c r="J135" s="20">
        <v>1.115060489460957</v>
      </c>
      <c r="K135" s="20" t="s">
        <v>369</v>
      </c>
      <c r="L135" s="20" t="s">
        <v>370</v>
      </c>
      <c r="M135" s="20">
        <v>59.273333333333333</v>
      </c>
      <c r="N135" s="20" t="s">
        <v>365</v>
      </c>
      <c r="O135" s="20">
        <v>0.6162548015364917</v>
      </c>
    </row>
    <row r="136" spans="1:15" x14ac:dyDescent="0.2">
      <c r="A136" s="20" t="s">
        <v>638</v>
      </c>
      <c r="B136" s="20" t="s">
        <v>639</v>
      </c>
      <c r="C136" s="20" t="s">
        <v>367</v>
      </c>
      <c r="D136" s="20">
        <v>649</v>
      </c>
      <c r="E136" s="20">
        <v>15</v>
      </c>
      <c r="F136" s="20">
        <v>3.464203233256351</v>
      </c>
      <c r="G136" s="20" t="s">
        <v>463</v>
      </c>
      <c r="H136" s="20"/>
      <c r="I136" s="20"/>
      <c r="J136" s="20">
        <v>-2.3697537837821541</v>
      </c>
      <c r="K136" s="20" t="s">
        <v>364</v>
      </c>
      <c r="L136" s="20" t="s">
        <v>363</v>
      </c>
      <c r="M136" s="20">
        <v>194.7</v>
      </c>
      <c r="N136" s="20" t="s">
        <v>373</v>
      </c>
      <c r="O136" s="20"/>
    </row>
    <row r="137" spans="1:15" x14ac:dyDescent="0.2">
      <c r="A137" s="20" t="s">
        <v>640</v>
      </c>
      <c r="B137" s="20" t="s">
        <v>641</v>
      </c>
      <c r="C137" s="20" t="s">
        <v>367</v>
      </c>
      <c r="D137" s="20">
        <v>148.6548672566372</v>
      </c>
      <c r="E137" s="20">
        <v>113</v>
      </c>
      <c r="F137" s="20">
        <v>26.096997690531179</v>
      </c>
      <c r="G137" s="20" t="s">
        <v>439</v>
      </c>
      <c r="H137" s="20">
        <v>5</v>
      </c>
      <c r="I137" s="20">
        <v>-4.2238658195228487</v>
      </c>
      <c r="J137" s="20">
        <v>-4.2238658195228487</v>
      </c>
      <c r="K137" s="20" t="s">
        <v>369</v>
      </c>
      <c r="L137" s="20" t="s">
        <v>368</v>
      </c>
      <c r="M137" s="20">
        <v>10</v>
      </c>
      <c r="N137" s="20" t="s">
        <v>365</v>
      </c>
      <c r="O137" s="20">
        <v>0.93055555555555558</v>
      </c>
    </row>
    <row r="138" spans="1:15" x14ac:dyDescent="0.2">
      <c r="A138" s="20" t="s">
        <v>642</v>
      </c>
      <c r="B138" s="20" t="s">
        <v>643</v>
      </c>
      <c r="C138" s="20" t="s">
        <v>367</v>
      </c>
      <c r="D138" s="20">
        <v>90.569892473118273</v>
      </c>
      <c r="E138" s="20">
        <v>93</v>
      </c>
      <c r="F138" s="20">
        <v>21.47806004618938</v>
      </c>
      <c r="G138" s="20" t="s">
        <v>439</v>
      </c>
      <c r="H138" s="20">
        <v>6</v>
      </c>
      <c r="I138" s="20">
        <v>0.7321297222027634</v>
      </c>
      <c r="J138" s="20">
        <v>0.7321297222027634</v>
      </c>
      <c r="K138" s="20" t="s">
        <v>369</v>
      </c>
      <c r="L138" s="20" t="s">
        <v>368</v>
      </c>
      <c r="M138" s="20">
        <v>32</v>
      </c>
      <c r="N138" s="20" t="s">
        <v>365</v>
      </c>
      <c r="O138" s="20">
        <v>0.75733063700707781</v>
      </c>
    </row>
    <row r="139" spans="1:15" x14ac:dyDescent="0.2">
      <c r="A139" s="20" t="s">
        <v>56</v>
      </c>
      <c r="B139" s="20" t="s">
        <v>57</v>
      </c>
      <c r="C139" s="20" t="s">
        <v>367</v>
      </c>
      <c r="D139" s="20">
        <v>363.08371040723978</v>
      </c>
      <c r="E139" s="20">
        <v>884</v>
      </c>
      <c r="F139" s="20">
        <v>204.1570438799076</v>
      </c>
      <c r="G139" s="20" t="s">
        <v>409</v>
      </c>
      <c r="H139" s="20">
        <v>1</v>
      </c>
      <c r="I139" s="20">
        <v>-10</v>
      </c>
      <c r="J139" s="20">
        <v>-10</v>
      </c>
      <c r="K139" s="20" t="s">
        <v>369</v>
      </c>
      <c r="L139" s="20" t="s">
        <v>370</v>
      </c>
      <c r="M139" s="20">
        <v>31.75682926829268</v>
      </c>
      <c r="N139" s="20" t="s">
        <v>365</v>
      </c>
      <c r="O139" s="20">
        <v>0.82191062837148265</v>
      </c>
    </row>
    <row r="140" spans="1:15" x14ac:dyDescent="0.2">
      <c r="A140" s="20" t="s">
        <v>644</v>
      </c>
      <c r="B140" s="20" t="s">
        <v>645</v>
      </c>
      <c r="C140" s="20" t="s">
        <v>367</v>
      </c>
      <c r="D140" s="20">
        <v>399</v>
      </c>
      <c r="E140" s="20">
        <v>11</v>
      </c>
      <c r="F140" s="20">
        <v>2.5404157043879909</v>
      </c>
      <c r="G140" s="20" t="s">
        <v>409</v>
      </c>
      <c r="H140" s="20"/>
      <c r="I140" s="20"/>
      <c r="J140" s="20">
        <v>-1.273147819780216</v>
      </c>
      <c r="K140" s="20" t="s">
        <v>364</v>
      </c>
      <c r="L140" s="20" t="s">
        <v>363</v>
      </c>
      <c r="M140" s="20">
        <v>119.7</v>
      </c>
      <c r="N140" s="20" t="s">
        <v>373</v>
      </c>
      <c r="O140" s="20"/>
    </row>
    <row r="141" spans="1:15" x14ac:dyDescent="0.2">
      <c r="A141" s="20" t="s">
        <v>646</v>
      </c>
      <c r="B141" s="20" t="s">
        <v>647</v>
      </c>
      <c r="C141" s="20" t="s">
        <v>367</v>
      </c>
      <c r="D141" s="20"/>
      <c r="E141" s="20"/>
      <c r="F141" s="20"/>
      <c r="G141" s="20"/>
      <c r="H141" s="20"/>
      <c r="I141" s="20"/>
      <c r="J141" s="20">
        <v>-1.08034578285814</v>
      </c>
      <c r="K141" s="20" t="s">
        <v>414</v>
      </c>
      <c r="L141" s="20" t="s">
        <v>363</v>
      </c>
      <c r="M141" s="20">
        <v>177.2</v>
      </c>
      <c r="N141" s="20" t="s">
        <v>365</v>
      </c>
      <c r="O141" s="20">
        <v>0.83091603053435115</v>
      </c>
    </row>
    <row r="142" spans="1:15" x14ac:dyDescent="0.2">
      <c r="A142" s="20" t="s">
        <v>99</v>
      </c>
      <c r="B142" s="20" t="s">
        <v>100</v>
      </c>
      <c r="C142" s="20" t="s">
        <v>362</v>
      </c>
      <c r="D142" s="20">
        <v>961.41134751773052</v>
      </c>
      <c r="E142" s="20">
        <v>282</v>
      </c>
      <c r="F142" s="20">
        <v>65.127020785219401</v>
      </c>
      <c r="G142" s="20" t="s">
        <v>463</v>
      </c>
      <c r="H142" s="20">
        <v>1</v>
      </c>
      <c r="I142" s="20">
        <v>-3.3778008215263711</v>
      </c>
      <c r="J142" s="20">
        <v>-3.3778008215263711</v>
      </c>
      <c r="K142" s="20" t="s">
        <v>369</v>
      </c>
      <c r="L142" s="20" t="s">
        <v>370</v>
      </c>
      <c r="M142" s="20">
        <v>222.54777777777781</v>
      </c>
      <c r="N142" s="20" t="s">
        <v>365</v>
      </c>
      <c r="O142" s="20">
        <v>0.68347224116764427</v>
      </c>
    </row>
    <row r="143" spans="1:15" x14ac:dyDescent="0.2">
      <c r="A143" s="20" t="s">
        <v>648</v>
      </c>
      <c r="B143" s="20" t="s">
        <v>649</v>
      </c>
      <c r="C143" s="20" t="s">
        <v>367</v>
      </c>
      <c r="D143" s="20">
        <v>2499</v>
      </c>
      <c r="E143" s="20">
        <v>24</v>
      </c>
      <c r="F143" s="20">
        <v>5.5427251732101617</v>
      </c>
      <c r="G143" s="20" t="s">
        <v>510</v>
      </c>
      <c r="H143" s="20">
        <v>3</v>
      </c>
      <c r="I143" s="20">
        <v>-0.8083753123828562</v>
      </c>
      <c r="J143" s="20">
        <v>-0.8083753123828562</v>
      </c>
      <c r="K143" s="20" t="s">
        <v>369</v>
      </c>
      <c r="L143" s="20" t="s">
        <v>368</v>
      </c>
      <c r="M143" s="20">
        <v>327.60000000000002</v>
      </c>
      <c r="N143" s="20" t="s">
        <v>365</v>
      </c>
      <c r="O143" s="20">
        <v>0.82392776523702027</v>
      </c>
    </row>
    <row r="144" spans="1:15" x14ac:dyDescent="0.2">
      <c r="A144" s="20" t="s">
        <v>650</v>
      </c>
      <c r="B144" s="20" t="s">
        <v>651</v>
      </c>
      <c r="C144" s="20" t="s">
        <v>367</v>
      </c>
      <c r="D144" s="20">
        <v>399</v>
      </c>
      <c r="E144" s="20">
        <v>83</v>
      </c>
      <c r="F144" s="20">
        <v>19.168591224018471</v>
      </c>
      <c r="G144" s="20" t="s">
        <v>409</v>
      </c>
      <c r="H144" s="20"/>
      <c r="I144" s="20"/>
      <c r="J144" s="20">
        <v>-1.273147819780216</v>
      </c>
      <c r="K144" s="20" t="s">
        <v>364</v>
      </c>
      <c r="L144" s="20" t="s">
        <v>363</v>
      </c>
      <c r="M144" s="20">
        <v>35.200000000000003</v>
      </c>
      <c r="N144" s="20" t="s">
        <v>365</v>
      </c>
      <c r="O144" s="20">
        <v>0.91960848287112562</v>
      </c>
    </row>
    <row r="145" spans="1:15" x14ac:dyDescent="0.2">
      <c r="A145" s="20" t="s">
        <v>652</v>
      </c>
      <c r="B145" s="20" t="s">
        <v>653</v>
      </c>
      <c r="C145" s="20" t="s">
        <v>367</v>
      </c>
      <c r="D145" s="20">
        <v>185.53159851301109</v>
      </c>
      <c r="E145" s="20">
        <v>269</v>
      </c>
      <c r="F145" s="20">
        <v>62.124711316397217</v>
      </c>
      <c r="G145" s="20" t="s">
        <v>439</v>
      </c>
      <c r="H145" s="20">
        <v>3</v>
      </c>
      <c r="I145" s="20">
        <v>-1.3563085569661959</v>
      </c>
      <c r="J145" s="20">
        <v>-1.3563085569661959</v>
      </c>
      <c r="K145" s="20" t="s">
        <v>369</v>
      </c>
      <c r="L145" s="20" t="s">
        <v>368</v>
      </c>
      <c r="M145" s="20">
        <v>35.200000000000003</v>
      </c>
      <c r="N145" s="20" t="s">
        <v>365</v>
      </c>
      <c r="O145" s="20">
        <v>0.8222222222222223</v>
      </c>
    </row>
    <row r="146" spans="1:15" x14ac:dyDescent="0.2">
      <c r="A146" s="20" t="s">
        <v>654</v>
      </c>
      <c r="B146" s="20" t="s">
        <v>654</v>
      </c>
      <c r="C146" s="20" t="s">
        <v>367</v>
      </c>
      <c r="D146" s="20"/>
      <c r="E146" s="20"/>
      <c r="F146" s="20"/>
      <c r="G146" s="20"/>
      <c r="H146" s="20"/>
      <c r="I146" s="20"/>
      <c r="J146" s="20">
        <v>-1.08034578285814</v>
      </c>
      <c r="K146" s="20" t="s">
        <v>414</v>
      </c>
      <c r="L146" s="20" t="s">
        <v>363</v>
      </c>
      <c r="M146" s="20">
        <v>65</v>
      </c>
      <c r="N146" s="20" t="s">
        <v>365</v>
      </c>
      <c r="O146" s="20"/>
    </row>
    <row r="147" spans="1:15" x14ac:dyDescent="0.2">
      <c r="A147" s="20" t="s">
        <v>655</v>
      </c>
      <c r="B147" s="20" t="s">
        <v>656</v>
      </c>
      <c r="C147" s="20" t="s">
        <v>362</v>
      </c>
      <c r="D147" s="20"/>
      <c r="E147" s="20"/>
      <c r="F147" s="20"/>
      <c r="G147" s="20"/>
      <c r="H147" s="20"/>
      <c r="I147" s="20"/>
      <c r="J147" s="20">
        <v>-1.384113661892663</v>
      </c>
      <c r="K147" s="20" t="s">
        <v>414</v>
      </c>
      <c r="L147" s="20" t="s">
        <v>363</v>
      </c>
      <c r="M147" s="20">
        <v>425.41</v>
      </c>
      <c r="N147" s="20" t="s">
        <v>365</v>
      </c>
      <c r="O147" s="20">
        <v>0.69786221590909081</v>
      </c>
    </row>
    <row r="148" spans="1:15" x14ac:dyDescent="0.2">
      <c r="A148" s="20" t="s">
        <v>657</v>
      </c>
      <c r="B148" s="20" t="s">
        <v>658</v>
      </c>
      <c r="C148" s="20" t="s">
        <v>362</v>
      </c>
      <c r="D148" s="20">
        <v>399</v>
      </c>
      <c r="E148" s="20">
        <v>84</v>
      </c>
      <c r="F148" s="20">
        <v>19.399538106235561</v>
      </c>
      <c r="G148" s="20" t="s">
        <v>409</v>
      </c>
      <c r="H148" s="20"/>
      <c r="I148" s="20"/>
      <c r="J148" s="20">
        <v>-0.79078567053692428</v>
      </c>
      <c r="K148" s="20" t="s">
        <v>364</v>
      </c>
      <c r="L148" s="20" t="s">
        <v>363</v>
      </c>
      <c r="M148" s="20">
        <v>136</v>
      </c>
      <c r="N148" s="20" t="s">
        <v>365</v>
      </c>
      <c r="O148" s="20">
        <v>0.63705308775731306</v>
      </c>
    </row>
    <row r="149" spans="1:15" x14ac:dyDescent="0.2">
      <c r="A149" s="20" t="s">
        <v>659</v>
      </c>
      <c r="B149" s="20" t="s">
        <v>660</v>
      </c>
      <c r="C149" s="20" t="s">
        <v>367</v>
      </c>
      <c r="D149" s="20"/>
      <c r="E149" s="20"/>
      <c r="F149" s="20"/>
      <c r="G149" s="20"/>
      <c r="H149" s="20"/>
      <c r="I149" s="20"/>
      <c r="J149" s="20">
        <v>-1.08034578285814</v>
      </c>
      <c r="K149" s="20" t="s">
        <v>414</v>
      </c>
      <c r="L149" s="20" t="s">
        <v>363</v>
      </c>
      <c r="M149" s="20">
        <v>84</v>
      </c>
      <c r="N149" s="20" t="s">
        <v>365</v>
      </c>
      <c r="O149" s="20">
        <v>0.8424015009380863</v>
      </c>
    </row>
    <row r="150" spans="1:15" x14ac:dyDescent="0.2">
      <c r="A150" s="20" t="s">
        <v>661</v>
      </c>
      <c r="B150" s="20" t="s">
        <v>662</v>
      </c>
      <c r="C150" s="20" t="s">
        <v>367</v>
      </c>
      <c r="D150" s="20"/>
      <c r="E150" s="20"/>
      <c r="F150" s="20"/>
      <c r="G150" s="20"/>
      <c r="H150" s="20"/>
      <c r="I150" s="20"/>
      <c r="J150" s="20">
        <v>-1.08034578285814</v>
      </c>
      <c r="K150" s="20" t="s">
        <v>414</v>
      </c>
      <c r="L150" s="20" t="s">
        <v>363</v>
      </c>
      <c r="M150" s="20">
        <v>167.13566666666671</v>
      </c>
      <c r="N150" s="20" t="s">
        <v>365</v>
      </c>
      <c r="O150" s="20">
        <v>0.46743813064259149</v>
      </c>
    </row>
    <row r="151" spans="1:15" x14ac:dyDescent="0.2">
      <c r="A151" s="20" t="s">
        <v>663</v>
      </c>
      <c r="B151" s="20" t="s">
        <v>664</v>
      </c>
      <c r="C151" s="20" t="s">
        <v>367</v>
      </c>
      <c r="D151" s="20"/>
      <c r="E151" s="20"/>
      <c r="F151" s="20"/>
      <c r="G151" s="20"/>
      <c r="H151" s="20">
        <v>1</v>
      </c>
      <c r="I151" s="20">
        <v>0.78929836328082603</v>
      </c>
      <c r="J151" s="20">
        <v>0.78929836328082603</v>
      </c>
      <c r="K151" s="20" t="s">
        <v>369</v>
      </c>
      <c r="L151" s="20" t="s">
        <v>370</v>
      </c>
      <c r="M151" s="20"/>
      <c r="N151" s="20" t="s">
        <v>373</v>
      </c>
      <c r="O151" s="20">
        <v>0</v>
      </c>
    </row>
    <row r="152" spans="1:15" x14ac:dyDescent="0.2">
      <c r="A152" s="20" t="s">
        <v>665</v>
      </c>
      <c r="B152" s="20" t="s">
        <v>666</v>
      </c>
      <c r="C152" s="20" t="s">
        <v>367</v>
      </c>
      <c r="D152" s="20">
        <v>1099</v>
      </c>
      <c r="E152" s="20">
        <v>45</v>
      </c>
      <c r="F152" s="20">
        <v>10.39260969976905</v>
      </c>
      <c r="G152" s="20" t="s">
        <v>452</v>
      </c>
      <c r="H152" s="20">
        <v>1</v>
      </c>
      <c r="I152" s="20">
        <v>-10</v>
      </c>
      <c r="J152" s="20">
        <v>-10</v>
      </c>
      <c r="K152" s="20" t="s">
        <v>369</v>
      </c>
      <c r="L152" s="20" t="s">
        <v>370</v>
      </c>
      <c r="M152" s="20">
        <v>357.81818181818181</v>
      </c>
      <c r="N152" s="20" t="s">
        <v>365</v>
      </c>
      <c r="O152" s="20">
        <v>0.64816304639313493</v>
      </c>
    </row>
    <row r="153" spans="1:15" x14ac:dyDescent="0.2">
      <c r="A153" s="20" t="s">
        <v>667</v>
      </c>
      <c r="B153" s="20" t="s">
        <v>668</v>
      </c>
      <c r="C153" s="20" t="s">
        <v>367</v>
      </c>
      <c r="D153" s="20"/>
      <c r="E153" s="20"/>
      <c r="F153" s="20"/>
      <c r="G153" s="20"/>
      <c r="H153" s="20"/>
      <c r="I153" s="20"/>
      <c r="J153" s="20">
        <v>-1.08034578285814</v>
      </c>
      <c r="K153" s="20" t="s">
        <v>414</v>
      </c>
      <c r="L153" s="20" t="s">
        <v>363</v>
      </c>
      <c r="M153" s="20">
        <v>1402.24</v>
      </c>
      <c r="N153" s="20" t="s">
        <v>365</v>
      </c>
      <c r="O153" s="20">
        <v>0.25295486988031191</v>
      </c>
    </row>
    <row r="154" spans="1:15" x14ac:dyDescent="0.2">
      <c r="A154" s="20" t="s">
        <v>669</v>
      </c>
      <c r="B154" s="20" t="s">
        <v>670</v>
      </c>
      <c r="C154" s="20" t="s">
        <v>367</v>
      </c>
      <c r="D154" s="20">
        <v>1499</v>
      </c>
      <c r="E154" s="20">
        <v>13</v>
      </c>
      <c r="F154" s="20">
        <v>3.0023094688221712</v>
      </c>
      <c r="G154" s="20" t="s">
        <v>452</v>
      </c>
      <c r="H154" s="20">
        <v>1</v>
      </c>
      <c r="I154" s="20">
        <v>1.2067074491057601</v>
      </c>
      <c r="J154" s="20">
        <v>1.2067074491057601</v>
      </c>
      <c r="K154" s="20" t="s">
        <v>369</v>
      </c>
      <c r="L154" s="20" t="s">
        <v>370</v>
      </c>
      <c r="M154" s="20">
        <v>141.56399999999999</v>
      </c>
      <c r="N154" s="20" t="s">
        <v>365</v>
      </c>
      <c r="O154" s="20">
        <v>0.90945119611104008</v>
      </c>
    </row>
    <row r="155" spans="1:15" x14ac:dyDescent="0.2">
      <c r="A155" s="20" t="s">
        <v>67</v>
      </c>
      <c r="B155" s="20" t="s">
        <v>68</v>
      </c>
      <c r="C155" s="20" t="s">
        <v>367</v>
      </c>
      <c r="D155" s="20">
        <v>714.78550207961973</v>
      </c>
      <c r="E155" s="20">
        <v>1683</v>
      </c>
      <c r="F155" s="20">
        <v>388.68360277136259</v>
      </c>
      <c r="G155" s="20" t="s">
        <v>463</v>
      </c>
      <c r="H155" s="20">
        <v>2</v>
      </c>
      <c r="I155" s="20">
        <v>-3.6115594410919201</v>
      </c>
      <c r="J155" s="20">
        <v>-3.6115594410919201</v>
      </c>
      <c r="K155" s="20" t="s">
        <v>369</v>
      </c>
      <c r="L155" s="20" t="s">
        <v>370</v>
      </c>
      <c r="M155" s="20">
        <v>215.87881751824821</v>
      </c>
      <c r="N155" s="20" t="s">
        <v>365</v>
      </c>
      <c r="O155" s="20">
        <v>0.60693099137734385</v>
      </c>
    </row>
    <row r="156" spans="1:15" x14ac:dyDescent="0.2">
      <c r="A156" s="20" t="s">
        <v>671</v>
      </c>
      <c r="B156" s="20" t="s">
        <v>672</v>
      </c>
      <c r="C156" s="20" t="s">
        <v>362</v>
      </c>
      <c r="D156" s="20"/>
      <c r="E156" s="20"/>
      <c r="F156" s="20"/>
      <c r="G156" s="20"/>
      <c r="H156" s="20"/>
      <c r="I156" s="20"/>
      <c r="J156" s="20">
        <v>-1.384113661892663</v>
      </c>
      <c r="K156" s="20" t="s">
        <v>414</v>
      </c>
      <c r="L156" s="20" t="s">
        <v>363</v>
      </c>
      <c r="M156" s="20">
        <v>208.16</v>
      </c>
      <c r="N156" s="20" t="s">
        <v>365</v>
      </c>
      <c r="O156" s="20">
        <v>0.68949494949494949</v>
      </c>
    </row>
    <row r="157" spans="1:15" x14ac:dyDescent="0.2">
      <c r="A157" s="20" t="s">
        <v>673</v>
      </c>
      <c r="B157" s="20" t="s">
        <v>674</v>
      </c>
      <c r="C157" s="20" t="s">
        <v>362</v>
      </c>
      <c r="D157" s="20">
        <v>1599</v>
      </c>
      <c r="E157" s="20">
        <v>28</v>
      </c>
      <c r="F157" s="20">
        <v>6.4665127020785222</v>
      </c>
      <c r="G157" s="20" t="s">
        <v>510</v>
      </c>
      <c r="H157" s="20"/>
      <c r="I157" s="20"/>
      <c r="J157" s="20">
        <v>-1.384113661892663</v>
      </c>
      <c r="K157" s="20" t="s">
        <v>414</v>
      </c>
      <c r="L157" s="20" t="s">
        <v>363</v>
      </c>
      <c r="M157" s="20">
        <v>220.93</v>
      </c>
      <c r="N157" s="20" t="s">
        <v>365</v>
      </c>
      <c r="O157" s="20">
        <v>0.63811662198391417</v>
      </c>
    </row>
    <row r="158" spans="1:15" x14ac:dyDescent="0.2">
      <c r="A158" s="20" t="s">
        <v>675</v>
      </c>
      <c r="B158" s="20" t="s">
        <v>676</v>
      </c>
      <c r="C158" s="20" t="s">
        <v>362</v>
      </c>
      <c r="D158" s="20"/>
      <c r="E158" s="20"/>
      <c r="F158" s="20"/>
      <c r="G158" s="20"/>
      <c r="H158" s="20"/>
      <c r="I158" s="20"/>
      <c r="J158" s="20">
        <v>-1.384113661892663</v>
      </c>
      <c r="K158" s="20" t="s">
        <v>414</v>
      </c>
      <c r="L158" s="20" t="s">
        <v>363</v>
      </c>
      <c r="M158" s="20">
        <v>87.09</v>
      </c>
      <c r="N158" s="20" t="s">
        <v>365</v>
      </c>
      <c r="O158" s="20">
        <v>0.77171690694626471</v>
      </c>
    </row>
    <row r="159" spans="1:15" x14ac:dyDescent="0.2">
      <c r="A159" s="20" t="s">
        <v>677</v>
      </c>
      <c r="B159" s="20" t="s">
        <v>678</v>
      </c>
      <c r="C159" s="20" t="s">
        <v>362</v>
      </c>
      <c r="D159" s="20">
        <v>599</v>
      </c>
      <c r="E159" s="20">
        <v>15</v>
      </c>
      <c r="F159" s="20">
        <v>3.464203233256351</v>
      </c>
      <c r="G159" s="20" t="s">
        <v>409</v>
      </c>
      <c r="H159" s="20"/>
      <c r="I159" s="20"/>
      <c r="J159" s="20">
        <v>-0.79078567053692428</v>
      </c>
      <c r="K159" s="20" t="s">
        <v>364</v>
      </c>
      <c r="L159" s="20" t="s">
        <v>363</v>
      </c>
      <c r="M159" s="20">
        <v>97.783076923076933</v>
      </c>
      <c r="N159" s="20" t="s">
        <v>365</v>
      </c>
      <c r="O159" s="20">
        <v>0.82830012831768751</v>
      </c>
    </row>
    <row r="160" spans="1:15" x14ac:dyDescent="0.2">
      <c r="A160" s="20" t="s">
        <v>679</v>
      </c>
      <c r="B160" s="20" t="s">
        <v>680</v>
      </c>
      <c r="C160" s="20" t="s">
        <v>362</v>
      </c>
      <c r="D160" s="20">
        <v>799</v>
      </c>
      <c r="E160" s="20">
        <v>130</v>
      </c>
      <c r="F160" s="20">
        <v>30.023094688221711</v>
      </c>
      <c r="G160" s="20" t="s">
        <v>463</v>
      </c>
      <c r="H160" s="20"/>
      <c r="I160" s="20"/>
      <c r="J160" s="20">
        <v>-2.6197664336783242</v>
      </c>
      <c r="K160" s="20" t="s">
        <v>364</v>
      </c>
      <c r="L160" s="20" t="s">
        <v>363</v>
      </c>
      <c r="M160" s="20">
        <v>117.3682631578948</v>
      </c>
      <c r="N160" s="20" t="s">
        <v>365</v>
      </c>
      <c r="O160" s="20">
        <v>0.77012117461398022</v>
      </c>
    </row>
    <row r="161" spans="1:15" x14ac:dyDescent="0.2">
      <c r="A161" s="20" t="s">
        <v>65</v>
      </c>
      <c r="B161" s="20" t="s">
        <v>66</v>
      </c>
      <c r="C161" s="20" t="s">
        <v>362</v>
      </c>
      <c r="D161" s="20">
        <v>1199</v>
      </c>
      <c r="E161" s="20">
        <v>1131</v>
      </c>
      <c r="F161" s="20">
        <v>261.20092378752878</v>
      </c>
      <c r="G161" s="20" t="s">
        <v>452</v>
      </c>
      <c r="H161" s="20"/>
      <c r="I161" s="20"/>
      <c r="J161" s="20">
        <v>-3.643622761666514</v>
      </c>
      <c r="K161" s="20" t="s">
        <v>364</v>
      </c>
      <c r="L161" s="20" t="s">
        <v>363</v>
      </c>
      <c r="M161" s="20">
        <v>310.0997193877551</v>
      </c>
      <c r="N161" s="20" t="s">
        <v>365</v>
      </c>
      <c r="O161" s="20">
        <v>0.69415971467852544</v>
      </c>
    </row>
    <row r="162" spans="1:15" x14ac:dyDescent="0.2">
      <c r="A162" s="20" t="s">
        <v>681</v>
      </c>
      <c r="B162" s="20" t="s">
        <v>682</v>
      </c>
      <c r="C162" s="20" t="s">
        <v>362</v>
      </c>
      <c r="D162" s="20">
        <v>2799</v>
      </c>
      <c r="E162" s="20">
        <v>16</v>
      </c>
      <c r="F162" s="20">
        <v>3.695150115473441</v>
      </c>
      <c r="G162" s="20" t="s">
        <v>549</v>
      </c>
      <c r="H162" s="20"/>
      <c r="I162" s="20"/>
      <c r="J162" s="20">
        <v>-1.504740857521367</v>
      </c>
      <c r="K162" s="20" t="s">
        <v>364</v>
      </c>
      <c r="L162" s="20" t="s">
        <v>363</v>
      </c>
      <c r="M162" s="20">
        <v>639.75233333333324</v>
      </c>
      <c r="N162" s="20" t="s">
        <v>365</v>
      </c>
      <c r="O162" s="20">
        <v>0.74125284799460733</v>
      </c>
    </row>
    <row r="163" spans="1:15" x14ac:dyDescent="0.2">
      <c r="A163" s="20" t="s">
        <v>683</v>
      </c>
      <c r="B163" s="20" t="s">
        <v>684</v>
      </c>
      <c r="C163" s="20" t="s">
        <v>362</v>
      </c>
      <c r="D163" s="20">
        <v>1699</v>
      </c>
      <c r="E163" s="20">
        <v>498</v>
      </c>
      <c r="F163" s="20">
        <v>115.01154734411089</v>
      </c>
      <c r="G163" s="20" t="s">
        <v>510</v>
      </c>
      <c r="H163" s="20"/>
      <c r="I163" s="20"/>
      <c r="J163" s="20">
        <v>-1.384113661892663</v>
      </c>
      <c r="K163" s="20" t="s">
        <v>414</v>
      </c>
      <c r="L163" s="20" t="s">
        <v>363</v>
      </c>
      <c r="M163" s="20">
        <v>459.3425058823529</v>
      </c>
      <c r="N163" s="20" t="s">
        <v>365</v>
      </c>
      <c r="O163" s="20">
        <v>0.68248594757906023</v>
      </c>
    </row>
    <row r="164" spans="1:15" x14ac:dyDescent="0.2">
      <c r="A164" s="20" t="s">
        <v>685</v>
      </c>
      <c r="B164" s="20" t="s">
        <v>686</v>
      </c>
      <c r="C164" s="20" t="s">
        <v>362</v>
      </c>
      <c r="D164" s="20">
        <v>1299</v>
      </c>
      <c r="E164" s="20">
        <v>22</v>
      </c>
      <c r="F164" s="20">
        <v>5.0808314087759818</v>
      </c>
      <c r="G164" s="20" t="s">
        <v>452</v>
      </c>
      <c r="H164" s="20"/>
      <c r="I164" s="20"/>
      <c r="J164" s="20">
        <v>-3.643622761666514</v>
      </c>
      <c r="K164" s="20" t="s">
        <v>364</v>
      </c>
      <c r="L164" s="20" t="s">
        <v>363</v>
      </c>
      <c r="M164" s="20">
        <v>409.89437500000003</v>
      </c>
      <c r="N164" s="20" t="s">
        <v>365</v>
      </c>
      <c r="O164" s="20">
        <v>0.62449781497666845</v>
      </c>
    </row>
    <row r="165" spans="1:15" x14ac:dyDescent="0.2">
      <c r="A165" s="20" t="s">
        <v>687</v>
      </c>
      <c r="B165" s="20" t="s">
        <v>688</v>
      </c>
      <c r="C165" s="20" t="s">
        <v>362</v>
      </c>
      <c r="D165" s="20">
        <v>1299</v>
      </c>
      <c r="E165" s="20">
        <v>29</v>
      </c>
      <c r="F165" s="20">
        <v>6.6974595842956122</v>
      </c>
      <c r="G165" s="20" t="s">
        <v>452</v>
      </c>
      <c r="H165" s="20"/>
      <c r="I165" s="20"/>
      <c r="J165" s="20">
        <v>-3.643622761666514</v>
      </c>
      <c r="K165" s="20" t="s">
        <v>364</v>
      </c>
      <c r="L165" s="20" t="s">
        <v>363</v>
      </c>
      <c r="M165" s="20">
        <v>418.09723076923069</v>
      </c>
      <c r="N165" s="20" t="s">
        <v>365</v>
      </c>
      <c r="O165" s="20">
        <v>0.50165778869778876</v>
      </c>
    </row>
    <row r="166" spans="1:15" x14ac:dyDescent="0.2">
      <c r="A166" s="20" t="s">
        <v>79</v>
      </c>
      <c r="B166" s="20" t="s">
        <v>80</v>
      </c>
      <c r="C166" s="20" t="s">
        <v>362</v>
      </c>
      <c r="D166" s="20">
        <v>1149</v>
      </c>
      <c r="E166" s="20">
        <v>402</v>
      </c>
      <c r="F166" s="20">
        <v>92.840646651270205</v>
      </c>
      <c r="G166" s="20" t="s">
        <v>452</v>
      </c>
      <c r="H166" s="20"/>
      <c r="I166" s="20"/>
      <c r="J166" s="20">
        <v>-3.643622761666514</v>
      </c>
      <c r="K166" s="20" t="s">
        <v>364</v>
      </c>
      <c r="L166" s="20" t="s">
        <v>363</v>
      </c>
      <c r="M166" s="20">
        <v>93.022051282051279</v>
      </c>
      <c r="N166" s="20" t="s">
        <v>365</v>
      </c>
      <c r="O166" s="20">
        <v>0.81262130908688512</v>
      </c>
    </row>
    <row r="167" spans="1:15" x14ac:dyDescent="0.2">
      <c r="A167" s="20" t="s">
        <v>689</v>
      </c>
      <c r="B167" s="20" t="s">
        <v>690</v>
      </c>
      <c r="C167" s="20" t="s">
        <v>362</v>
      </c>
      <c r="D167" s="20"/>
      <c r="E167" s="20"/>
      <c r="F167" s="20"/>
      <c r="G167" s="20"/>
      <c r="H167" s="20"/>
      <c r="I167" s="20"/>
      <c r="J167" s="20">
        <v>-1.384113661892663</v>
      </c>
      <c r="K167" s="20" t="s">
        <v>414</v>
      </c>
      <c r="L167" s="20" t="s">
        <v>363</v>
      </c>
      <c r="M167" s="20">
        <v>765.20999999999992</v>
      </c>
      <c r="N167" s="20" t="s">
        <v>365</v>
      </c>
      <c r="O167" s="20">
        <v>0.74146563957024125</v>
      </c>
    </row>
    <row r="168" spans="1:15" x14ac:dyDescent="0.2">
      <c r="A168" s="20" t="s">
        <v>691</v>
      </c>
      <c r="B168" s="20" t="s">
        <v>692</v>
      </c>
      <c r="C168" s="20" t="s">
        <v>362</v>
      </c>
      <c r="D168" s="20">
        <v>4299</v>
      </c>
      <c r="E168" s="20">
        <v>11</v>
      </c>
      <c r="F168" s="20">
        <v>2.5404157043879909</v>
      </c>
      <c r="G168" s="20" t="s">
        <v>549</v>
      </c>
      <c r="H168" s="20"/>
      <c r="I168" s="20"/>
      <c r="J168" s="20">
        <v>-1.504740857521367</v>
      </c>
      <c r="K168" s="20" t="s">
        <v>364</v>
      </c>
      <c r="L168" s="20" t="s">
        <v>363</v>
      </c>
      <c r="M168" s="20">
        <v>839.15187500000002</v>
      </c>
      <c r="N168" s="20" t="s">
        <v>365</v>
      </c>
      <c r="O168" s="20">
        <v>0.77350444508173211</v>
      </c>
    </row>
    <row r="169" spans="1:15" x14ac:dyDescent="0.2">
      <c r="A169" s="20" t="s">
        <v>693</v>
      </c>
      <c r="B169" s="20" t="s">
        <v>694</v>
      </c>
      <c r="C169" s="20" t="s">
        <v>362</v>
      </c>
      <c r="D169" s="20">
        <v>899</v>
      </c>
      <c r="E169" s="20">
        <v>11</v>
      </c>
      <c r="F169" s="20">
        <v>2.5404157043879909</v>
      </c>
      <c r="G169" s="20" t="s">
        <v>463</v>
      </c>
      <c r="H169" s="20"/>
      <c r="I169" s="20"/>
      <c r="J169" s="20">
        <v>-2.6197664336783242</v>
      </c>
      <c r="K169" s="20" t="s">
        <v>364</v>
      </c>
      <c r="L169" s="20" t="s">
        <v>363</v>
      </c>
      <c r="M169" s="20">
        <v>189.45</v>
      </c>
      <c r="N169" s="20" t="s">
        <v>365</v>
      </c>
      <c r="O169" s="20">
        <v>0.77001517450682866</v>
      </c>
    </row>
    <row r="170" spans="1:15" x14ac:dyDescent="0.2">
      <c r="A170" s="20" t="s">
        <v>695</v>
      </c>
      <c r="B170" s="20" t="s">
        <v>696</v>
      </c>
      <c r="C170" s="20" t="s">
        <v>362</v>
      </c>
      <c r="D170" s="20"/>
      <c r="E170" s="20"/>
      <c r="F170" s="20"/>
      <c r="G170" s="20"/>
      <c r="H170" s="20"/>
      <c r="I170" s="20"/>
      <c r="J170" s="20">
        <v>-1.384113661892663</v>
      </c>
      <c r="K170" s="20" t="s">
        <v>414</v>
      </c>
      <c r="L170" s="20" t="s">
        <v>363</v>
      </c>
      <c r="M170" s="20">
        <v>326.94</v>
      </c>
      <c r="N170" s="20" t="s">
        <v>365</v>
      </c>
      <c r="O170" s="20">
        <v>0.76779829545454537</v>
      </c>
    </row>
    <row r="171" spans="1:15" x14ac:dyDescent="0.2">
      <c r="A171" s="20" t="s">
        <v>81</v>
      </c>
      <c r="B171" s="20" t="s">
        <v>82</v>
      </c>
      <c r="C171" s="20" t="s">
        <v>362</v>
      </c>
      <c r="D171" s="20">
        <v>699</v>
      </c>
      <c r="E171" s="20">
        <v>1500</v>
      </c>
      <c r="F171" s="20">
        <v>346.42032332563508</v>
      </c>
      <c r="G171" s="20" t="s">
        <v>463</v>
      </c>
      <c r="H171" s="20"/>
      <c r="I171" s="20"/>
      <c r="J171" s="20">
        <v>-2.6197664336783242</v>
      </c>
      <c r="K171" s="20" t="s">
        <v>364</v>
      </c>
      <c r="L171" s="20" t="s">
        <v>363</v>
      </c>
      <c r="M171" s="20">
        <v>140.5479</v>
      </c>
      <c r="N171" s="20" t="s">
        <v>365</v>
      </c>
      <c r="O171" s="20">
        <v>0.76509008489877461</v>
      </c>
    </row>
    <row r="172" spans="1:15" x14ac:dyDescent="0.2">
      <c r="A172" s="20" t="s">
        <v>38</v>
      </c>
      <c r="B172" s="20" t="s">
        <v>39</v>
      </c>
      <c r="C172" s="20" t="s">
        <v>362</v>
      </c>
      <c r="D172" s="20">
        <v>997</v>
      </c>
      <c r="E172" s="20">
        <v>11149</v>
      </c>
      <c r="F172" s="20">
        <v>2574.8267898383369</v>
      </c>
      <c r="G172" s="20" t="s">
        <v>463</v>
      </c>
      <c r="H172" s="20"/>
      <c r="I172" s="20"/>
      <c r="J172" s="20">
        <v>-2.6197664336783242</v>
      </c>
      <c r="K172" s="20" t="s">
        <v>364</v>
      </c>
      <c r="L172" s="20" t="s">
        <v>363</v>
      </c>
      <c r="M172" s="20">
        <v>326.02004572175048</v>
      </c>
      <c r="N172" s="20" t="s">
        <v>365</v>
      </c>
      <c r="O172" s="20">
        <v>0.60644759825656769</v>
      </c>
    </row>
    <row r="173" spans="1:15" x14ac:dyDescent="0.2">
      <c r="A173" s="20" t="s">
        <v>697</v>
      </c>
      <c r="B173" s="20" t="s">
        <v>698</v>
      </c>
      <c r="C173" s="20" t="s">
        <v>362</v>
      </c>
      <c r="D173" s="20"/>
      <c r="E173" s="20"/>
      <c r="F173" s="20"/>
      <c r="G173" s="20"/>
      <c r="H173" s="20"/>
      <c r="I173" s="20"/>
      <c r="J173" s="20">
        <v>-1.384113661892663</v>
      </c>
      <c r="K173" s="20" t="s">
        <v>414</v>
      </c>
      <c r="L173" s="20" t="s">
        <v>363</v>
      </c>
      <c r="M173" s="20">
        <v>166.995</v>
      </c>
      <c r="N173" s="20" t="s">
        <v>365</v>
      </c>
      <c r="O173" s="20">
        <v>0.71375982532751092</v>
      </c>
    </row>
    <row r="174" spans="1:15" x14ac:dyDescent="0.2">
      <c r="A174" s="20" t="s">
        <v>699</v>
      </c>
      <c r="B174" s="20" t="s">
        <v>700</v>
      </c>
      <c r="C174" s="20" t="s">
        <v>362</v>
      </c>
      <c r="D174" s="20">
        <v>1399</v>
      </c>
      <c r="E174" s="20">
        <v>44</v>
      </c>
      <c r="F174" s="20">
        <v>10.16166281755196</v>
      </c>
      <c r="G174" s="20" t="s">
        <v>452</v>
      </c>
      <c r="H174" s="20"/>
      <c r="I174" s="20"/>
      <c r="J174" s="20">
        <v>-3.643622761666514</v>
      </c>
      <c r="K174" s="20" t="s">
        <v>364</v>
      </c>
      <c r="L174" s="20" t="s">
        <v>363</v>
      </c>
      <c r="M174" s="20">
        <v>335.67</v>
      </c>
      <c r="N174" s="20" t="s">
        <v>365</v>
      </c>
      <c r="O174" s="20">
        <v>0.74337155963302748</v>
      </c>
    </row>
    <row r="175" spans="1:15" x14ac:dyDescent="0.2">
      <c r="A175" s="20" t="s">
        <v>701</v>
      </c>
      <c r="B175" s="20" t="s">
        <v>702</v>
      </c>
      <c r="C175" s="20" t="s">
        <v>362</v>
      </c>
      <c r="D175" s="20"/>
      <c r="E175" s="20"/>
      <c r="F175" s="20"/>
      <c r="G175" s="20"/>
      <c r="H175" s="20">
        <v>1</v>
      </c>
      <c r="I175" s="20">
        <v>-0.25309494649659109</v>
      </c>
      <c r="J175" s="20">
        <v>-0.25309494649659109</v>
      </c>
      <c r="K175" s="20" t="s">
        <v>369</v>
      </c>
      <c r="L175" s="20" t="s">
        <v>370</v>
      </c>
      <c r="M175" s="20">
        <v>669.10333333333335</v>
      </c>
      <c r="N175" s="20" t="s">
        <v>365</v>
      </c>
      <c r="O175" s="20">
        <v>0.71336427245466238</v>
      </c>
    </row>
    <row r="176" spans="1:15" x14ac:dyDescent="0.2">
      <c r="A176" s="20" t="s">
        <v>703</v>
      </c>
      <c r="B176" s="20" t="s">
        <v>704</v>
      </c>
      <c r="C176" s="20" t="s">
        <v>362</v>
      </c>
      <c r="D176" s="20"/>
      <c r="E176" s="20"/>
      <c r="F176" s="20"/>
      <c r="G176" s="20"/>
      <c r="H176" s="20"/>
      <c r="I176" s="20"/>
      <c r="J176" s="20">
        <v>-1.384113661892663</v>
      </c>
      <c r="K176" s="20" t="s">
        <v>414</v>
      </c>
      <c r="L176" s="20" t="s">
        <v>363</v>
      </c>
      <c r="M176" s="20"/>
      <c r="N176" s="20" t="s">
        <v>373</v>
      </c>
      <c r="O176" s="20"/>
    </row>
    <row r="177" spans="1:15" x14ac:dyDescent="0.2">
      <c r="A177" s="20" t="s">
        <v>705</v>
      </c>
      <c r="B177" s="20" t="s">
        <v>706</v>
      </c>
      <c r="C177" s="20" t="s">
        <v>362</v>
      </c>
      <c r="D177" s="20">
        <v>1399</v>
      </c>
      <c r="E177" s="20">
        <v>15</v>
      </c>
      <c r="F177" s="20">
        <v>3.464203233256351</v>
      </c>
      <c r="G177" s="20" t="s">
        <v>452</v>
      </c>
      <c r="H177" s="20"/>
      <c r="I177" s="20"/>
      <c r="J177" s="20">
        <v>-3.643622761666514</v>
      </c>
      <c r="K177" s="20" t="s">
        <v>364</v>
      </c>
      <c r="L177" s="20" t="s">
        <v>363</v>
      </c>
      <c r="M177" s="20">
        <v>305.67</v>
      </c>
      <c r="N177" s="20" t="s">
        <v>365</v>
      </c>
      <c r="O177" s="20">
        <v>0.39280181293778332</v>
      </c>
    </row>
    <row r="178" spans="1:15" x14ac:dyDescent="0.2">
      <c r="A178" s="20" t="s">
        <v>707</v>
      </c>
      <c r="B178" s="20" t="s">
        <v>708</v>
      </c>
      <c r="C178" s="20" t="s">
        <v>362</v>
      </c>
      <c r="D178" s="20">
        <v>1199</v>
      </c>
      <c r="E178" s="20">
        <v>96</v>
      </c>
      <c r="F178" s="20">
        <v>22.17090069284065</v>
      </c>
      <c r="G178" s="20" t="s">
        <v>452</v>
      </c>
      <c r="H178" s="20"/>
      <c r="I178" s="20"/>
      <c r="J178" s="20">
        <v>-3.643622761666514</v>
      </c>
      <c r="K178" s="20" t="s">
        <v>364</v>
      </c>
      <c r="L178" s="20" t="s">
        <v>363</v>
      </c>
      <c r="M178" s="20">
        <v>277.33</v>
      </c>
      <c r="N178" s="20" t="s">
        <v>365</v>
      </c>
      <c r="O178" s="20">
        <v>0.76143655913978503</v>
      </c>
    </row>
    <row r="179" spans="1:15" x14ac:dyDescent="0.2">
      <c r="A179" s="20" t="s">
        <v>709</v>
      </c>
      <c r="B179" s="20" t="s">
        <v>710</v>
      </c>
      <c r="C179" s="20" t="s">
        <v>362</v>
      </c>
      <c r="D179" s="20"/>
      <c r="E179" s="20"/>
      <c r="F179" s="20"/>
      <c r="G179" s="20"/>
      <c r="H179" s="20"/>
      <c r="I179" s="20"/>
      <c r="J179" s="20">
        <v>-1.384113661892663</v>
      </c>
      <c r="K179" s="20" t="s">
        <v>414</v>
      </c>
      <c r="L179" s="20" t="s">
        <v>363</v>
      </c>
      <c r="M179" s="20">
        <v>433.14</v>
      </c>
      <c r="N179" s="20" t="s">
        <v>365</v>
      </c>
      <c r="O179" s="20">
        <v>0.74027183689786136</v>
      </c>
    </row>
    <row r="180" spans="1:15" x14ac:dyDescent="0.2">
      <c r="A180" s="20" t="s">
        <v>711</v>
      </c>
      <c r="B180" s="20" t="s">
        <v>712</v>
      </c>
      <c r="C180" s="20" t="s">
        <v>362</v>
      </c>
      <c r="D180" s="20">
        <v>999</v>
      </c>
      <c r="E180" s="20">
        <v>69</v>
      </c>
      <c r="F180" s="20">
        <v>15.935334872979221</v>
      </c>
      <c r="G180" s="20" t="s">
        <v>463</v>
      </c>
      <c r="H180" s="20"/>
      <c r="I180" s="20"/>
      <c r="J180" s="20">
        <v>-2.6197664336783242</v>
      </c>
      <c r="K180" s="20" t="s">
        <v>364</v>
      </c>
      <c r="L180" s="20" t="s">
        <v>363</v>
      </c>
      <c r="M180" s="20">
        <v>116.65600000000001</v>
      </c>
      <c r="N180" s="20" t="s">
        <v>365</v>
      </c>
      <c r="O180" s="20">
        <v>0.70655454475957502</v>
      </c>
    </row>
    <row r="181" spans="1:15" x14ac:dyDescent="0.2">
      <c r="A181" s="20" t="s">
        <v>713</v>
      </c>
      <c r="B181" s="20" t="s">
        <v>714</v>
      </c>
      <c r="C181" s="20" t="s">
        <v>362</v>
      </c>
      <c r="D181" s="20"/>
      <c r="E181" s="20"/>
      <c r="F181" s="20"/>
      <c r="G181" s="20"/>
      <c r="H181" s="20"/>
      <c r="I181" s="20"/>
      <c r="J181" s="20">
        <v>-1.384113661892663</v>
      </c>
      <c r="K181" s="20" t="s">
        <v>414</v>
      </c>
      <c r="L181" s="20" t="s">
        <v>363</v>
      </c>
      <c r="M181" s="20">
        <v>1089.054347826087</v>
      </c>
      <c r="N181" s="20" t="s">
        <v>365</v>
      </c>
      <c r="O181" s="20">
        <v>0.32600109774723168</v>
      </c>
    </row>
    <row r="182" spans="1:15" x14ac:dyDescent="0.2">
      <c r="A182" s="20" t="s">
        <v>715</v>
      </c>
      <c r="B182" s="20" t="s">
        <v>716</v>
      </c>
      <c r="C182" s="20" t="s">
        <v>362</v>
      </c>
      <c r="D182" s="20">
        <v>999</v>
      </c>
      <c r="E182" s="20">
        <v>16</v>
      </c>
      <c r="F182" s="20">
        <v>3.695150115473441</v>
      </c>
      <c r="G182" s="20" t="s">
        <v>463</v>
      </c>
      <c r="H182" s="20"/>
      <c r="I182" s="20"/>
      <c r="J182" s="20">
        <v>-2.6197664336783242</v>
      </c>
      <c r="K182" s="20" t="s">
        <v>364</v>
      </c>
      <c r="L182" s="20" t="s">
        <v>363</v>
      </c>
      <c r="M182" s="20">
        <v>268.6438461538462</v>
      </c>
      <c r="N182" s="20" t="s">
        <v>365</v>
      </c>
      <c r="O182" s="20">
        <v>0.69161888586956533</v>
      </c>
    </row>
    <row r="183" spans="1:15" x14ac:dyDescent="0.2">
      <c r="A183" s="20" t="s">
        <v>717</v>
      </c>
      <c r="B183" s="20" t="s">
        <v>718</v>
      </c>
      <c r="C183" s="20" t="s">
        <v>362</v>
      </c>
      <c r="D183" s="20"/>
      <c r="E183" s="20"/>
      <c r="F183" s="20"/>
      <c r="G183" s="20"/>
      <c r="H183" s="20"/>
      <c r="I183" s="20"/>
      <c r="J183" s="20">
        <v>-1.384113661892663</v>
      </c>
      <c r="K183" s="20" t="s">
        <v>414</v>
      </c>
      <c r="L183" s="20" t="s">
        <v>363</v>
      </c>
      <c r="M183" s="20">
        <v>192.7</v>
      </c>
      <c r="N183" s="20" t="s">
        <v>365</v>
      </c>
      <c r="O183" s="20">
        <v>0.78541202672605781</v>
      </c>
    </row>
    <row r="184" spans="1:15" x14ac:dyDescent="0.2">
      <c r="A184" s="20" t="s">
        <v>719</v>
      </c>
      <c r="B184" s="20" t="s">
        <v>720</v>
      </c>
      <c r="C184" s="20" t="s">
        <v>362</v>
      </c>
      <c r="D184" s="20"/>
      <c r="E184" s="20"/>
      <c r="F184" s="20"/>
      <c r="G184" s="20"/>
      <c r="H184" s="20"/>
      <c r="I184" s="20"/>
      <c r="J184" s="20">
        <v>-1.384113661892663</v>
      </c>
      <c r="K184" s="20" t="s">
        <v>414</v>
      </c>
      <c r="L184" s="20" t="s">
        <v>363</v>
      </c>
      <c r="M184" s="20">
        <v>327.27</v>
      </c>
      <c r="N184" s="20" t="s">
        <v>365</v>
      </c>
      <c r="O184" s="20">
        <v>0.75352462720289193</v>
      </c>
    </row>
    <row r="185" spans="1:15" x14ac:dyDescent="0.2">
      <c r="A185" s="20" t="s">
        <v>62</v>
      </c>
      <c r="B185" s="20" t="s">
        <v>63</v>
      </c>
      <c r="C185" s="20" t="s">
        <v>362</v>
      </c>
      <c r="D185" s="20">
        <v>799</v>
      </c>
      <c r="E185" s="20">
        <v>3280</v>
      </c>
      <c r="F185" s="20">
        <v>757.5057736720554</v>
      </c>
      <c r="G185" s="20" t="s">
        <v>463</v>
      </c>
      <c r="H185" s="20"/>
      <c r="I185" s="20"/>
      <c r="J185" s="20">
        <v>-2.6197664336783242</v>
      </c>
      <c r="K185" s="20" t="s">
        <v>364</v>
      </c>
      <c r="L185" s="20" t="s">
        <v>363</v>
      </c>
      <c r="M185" s="20">
        <v>185.61240663900409</v>
      </c>
      <c r="N185" s="20" t="s">
        <v>365</v>
      </c>
      <c r="O185" s="20">
        <v>0.67167805230602451</v>
      </c>
    </row>
    <row r="186" spans="1:15" x14ac:dyDescent="0.2">
      <c r="A186" s="20" t="s">
        <v>721</v>
      </c>
      <c r="B186" s="20" t="s">
        <v>722</v>
      </c>
      <c r="C186" s="20" t="s">
        <v>362</v>
      </c>
      <c r="D186" s="20">
        <v>599</v>
      </c>
      <c r="E186" s="20">
        <v>140</v>
      </c>
      <c r="F186" s="20">
        <v>32.33256351039261</v>
      </c>
      <c r="G186" s="20" t="s">
        <v>409</v>
      </c>
      <c r="H186" s="20"/>
      <c r="I186" s="20"/>
      <c r="J186" s="20">
        <v>-0.79078567053692428</v>
      </c>
      <c r="K186" s="20" t="s">
        <v>364</v>
      </c>
      <c r="L186" s="20" t="s">
        <v>363</v>
      </c>
      <c r="M186" s="20">
        <v>105.4346666666667</v>
      </c>
      <c r="N186" s="20" t="s">
        <v>365</v>
      </c>
      <c r="O186" s="20">
        <v>0.82509292595115313</v>
      </c>
    </row>
    <row r="187" spans="1:15" x14ac:dyDescent="0.2">
      <c r="A187" s="20" t="s">
        <v>723</v>
      </c>
      <c r="B187" s="20" t="s">
        <v>724</v>
      </c>
      <c r="C187" s="20" t="s">
        <v>362</v>
      </c>
      <c r="D187" s="20"/>
      <c r="E187" s="20"/>
      <c r="F187" s="20"/>
      <c r="G187" s="20"/>
      <c r="H187" s="20"/>
      <c r="I187" s="20"/>
      <c r="J187" s="20">
        <v>-1.384113661892663</v>
      </c>
      <c r="K187" s="20" t="s">
        <v>414</v>
      </c>
      <c r="L187" s="20" t="s">
        <v>363</v>
      </c>
      <c r="M187" s="20">
        <v>150.91</v>
      </c>
      <c r="N187" s="20" t="s">
        <v>365</v>
      </c>
      <c r="O187" s="20">
        <v>0.85262695312500003</v>
      </c>
    </row>
    <row r="188" spans="1:15" x14ac:dyDescent="0.2">
      <c r="A188" s="20" t="s">
        <v>725</v>
      </c>
      <c r="B188" s="20" t="s">
        <v>726</v>
      </c>
      <c r="C188" s="20" t="s">
        <v>362</v>
      </c>
      <c r="D188" s="20">
        <v>999</v>
      </c>
      <c r="E188" s="20">
        <v>15</v>
      </c>
      <c r="F188" s="20">
        <v>3.464203233256351</v>
      </c>
      <c r="G188" s="20" t="s">
        <v>463</v>
      </c>
      <c r="H188" s="20"/>
      <c r="I188" s="20"/>
      <c r="J188" s="20">
        <v>-2.6197664336783242</v>
      </c>
      <c r="K188" s="20" t="s">
        <v>364</v>
      </c>
      <c r="L188" s="20" t="s">
        <v>363</v>
      </c>
      <c r="M188" s="20">
        <v>286.7908333333333</v>
      </c>
      <c r="N188" s="20" t="s">
        <v>365</v>
      </c>
      <c r="O188" s="20">
        <v>0.61792523762235785</v>
      </c>
    </row>
    <row r="189" spans="1:15" x14ac:dyDescent="0.2">
      <c r="A189" s="20" t="s">
        <v>727</v>
      </c>
      <c r="B189" s="20" t="s">
        <v>728</v>
      </c>
      <c r="C189" s="20" t="s">
        <v>362</v>
      </c>
      <c r="D189" s="20"/>
      <c r="E189" s="20"/>
      <c r="F189" s="20"/>
      <c r="G189" s="20"/>
      <c r="H189" s="20"/>
      <c r="I189" s="20"/>
      <c r="J189" s="20">
        <v>-1.384113661892663</v>
      </c>
      <c r="K189" s="20" t="s">
        <v>414</v>
      </c>
      <c r="L189" s="20" t="s">
        <v>363</v>
      </c>
      <c r="M189" s="20"/>
      <c r="N189" s="20" t="s">
        <v>373</v>
      </c>
      <c r="O189" s="20"/>
    </row>
    <row r="190" spans="1:15" x14ac:dyDescent="0.2">
      <c r="A190" s="20" t="s">
        <v>729</v>
      </c>
      <c r="B190" s="20" t="s">
        <v>730</v>
      </c>
      <c r="C190" s="20" t="s">
        <v>362</v>
      </c>
      <c r="D190" s="20"/>
      <c r="E190" s="20"/>
      <c r="F190" s="20"/>
      <c r="G190" s="20"/>
      <c r="H190" s="20"/>
      <c r="I190" s="20"/>
      <c r="J190" s="20">
        <v>-1.384113661892663</v>
      </c>
      <c r="K190" s="20" t="s">
        <v>414</v>
      </c>
      <c r="L190" s="20" t="s">
        <v>363</v>
      </c>
      <c r="M190" s="20">
        <v>276.05</v>
      </c>
      <c r="N190" s="20" t="s">
        <v>365</v>
      </c>
      <c r="O190" s="20">
        <v>0.76202586206896561</v>
      </c>
    </row>
    <row r="191" spans="1:15" x14ac:dyDescent="0.2">
      <c r="A191" s="20" t="s">
        <v>731</v>
      </c>
      <c r="B191" s="20" t="s">
        <v>732</v>
      </c>
      <c r="C191" s="20" t="s">
        <v>362</v>
      </c>
      <c r="D191" s="20"/>
      <c r="E191" s="20"/>
      <c r="F191" s="20"/>
      <c r="G191" s="20"/>
      <c r="H191" s="20"/>
      <c r="I191" s="20"/>
      <c r="J191" s="20">
        <v>-1.384113661892663</v>
      </c>
      <c r="K191" s="20" t="s">
        <v>414</v>
      </c>
      <c r="L191" s="20" t="s">
        <v>363</v>
      </c>
      <c r="M191" s="20">
        <v>1104.2</v>
      </c>
      <c r="N191" s="20" t="s">
        <v>365</v>
      </c>
      <c r="O191" s="20">
        <v>0.39379632171287399</v>
      </c>
    </row>
    <row r="192" spans="1:15" x14ac:dyDescent="0.2">
      <c r="A192" s="20" t="s">
        <v>733</v>
      </c>
      <c r="B192" s="20" t="s">
        <v>734</v>
      </c>
      <c r="C192" s="20" t="s">
        <v>362</v>
      </c>
      <c r="D192" s="20">
        <v>1499</v>
      </c>
      <c r="E192" s="20">
        <v>15</v>
      </c>
      <c r="F192" s="20">
        <v>3.464203233256351</v>
      </c>
      <c r="G192" s="20" t="s">
        <v>452</v>
      </c>
      <c r="H192" s="20"/>
      <c r="I192" s="20"/>
      <c r="J192" s="20">
        <v>-3.643622761666514</v>
      </c>
      <c r="K192" s="20" t="s">
        <v>364</v>
      </c>
      <c r="L192" s="20" t="s">
        <v>363</v>
      </c>
      <c r="M192" s="20">
        <v>377.25999999999988</v>
      </c>
      <c r="N192" s="20" t="s">
        <v>365</v>
      </c>
      <c r="O192" s="20">
        <v>0.33572172519695559</v>
      </c>
    </row>
    <row r="193" spans="1:15" x14ac:dyDescent="0.2">
      <c r="A193" s="20" t="s">
        <v>735</v>
      </c>
      <c r="B193" s="20" t="s">
        <v>736</v>
      </c>
      <c r="C193" s="20" t="s">
        <v>362</v>
      </c>
      <c r="D193" s="20">
        <v>1799</v>
      </c>
      <c r="E193" s="20">
        <v>11</v>
      </c>
      <c r="F193" s="20">
        <v>2.5404157043879909</v>
      </c>
      <c r="G193" s="20" t="s">
        <v>510</v>
      </c>
      <c r="H193" s="20"/>
      <c r="I193" s="20"/>
      <c r="J193" s="20">
        <v>-1.384113661892663</v>
      </c>
      <c r="K193" s="20" t="s">
        <v>414</v>
      </c>
      <c r="L193" s="20" t="s">
        <v>363</v>
      </c>
      <c r="M193" s="20">
        <v>459.62</v>
      </c>
      <c r="N193" s="20" t="s">
        <v>365</v>
      </c>
      <c r="O193" s="20">
        <v>0.61780509502628389</v>
      </c>
    </row>
    <row r="194" spans="1:15" x14ac:dyDescent="0.2">
      <c r="A194" s="20" t="s">
        <v>737</v>
      </c>
      <c r="B194" s="20" t="s">
        <v>738</v>
      </c>
      <c r="C194" s="20" t="s">
        <v>362</v>
      </c>
      <c r="D194" s="20">
        <v>1399</v>
      </c>
      <c r="E194" s="20">
        <v>211</v>
      </c>
      <c r="F194" s="20">
        <v>48.729792147806002</v>
      </c>
      <c r="G194" s="20" t="s">
        <v>452</v>
      </c>
      <c r="H194" s="20"/>
      <c r="I194" s="20"/>
      <c r="J194" s="20">
        <v>-3.643622761666514</v>
      </c>
      <c r="K194" s="20" t="s">
        <v>364</v>
      </c>
      <c r="L194" s="20" t="s">
        <v>363</v>
      </c>
      <c r="M194" s="20">
        <v>399.23351351351351</v>
      </c>
      <c r="N194" s="20" t="s">
        <v>365</v>
      </c>
      <c r="O194" s="20">
        <v>0.61049298083980075</v>
      </c>
    </row>
    <row r="195" spans="1:15" x14ac:dyDescent="0.2">
      <c r="A195" s="20" t="s">
        <v>739</v>
      </c>
      <c r="B195" s="20" t="s">
        <v>740</v>
      </c>
      <c r="C195" s="20" t="s">
        <v>362</v>
      </c>
      <c r="D195" s="20"/>
      <c r="E195" s="20"/>
      <c r="F195" s="20"/>
      <c r="G195" s="20"/>
      <c r="H195" s="20"/>
      <c r="I195" s="20"/>
      <c r="J195" s="20">
        <v>-1.384113661892663</v>
      </c>
      <c r="K195" s="20" t="s">
        <v>414</v>
      </c>
      <c r="L195" s="20" t="s">
        <v>363</v>
      </c>
      <c r="M195" s="20">
        <v>377.25999999999988</v>
      </c>
      <c r="N195" s="20" t="s">
        <v>365</v>
      </c>
      <c r="O195" s="20">
        <v>0.48926062687848859</v>
      </c>
    </row>
    <row r="196" spans="1:15" x14ac:dyDescent="0.2">
      <c r="A196" s="20" t="s">
        <v>47</v>
      </c>
      <c r="B196" s="20" t="s">
        <v>48</v>
      </c>
      <c r="C196" s="20" t="s">
        <v>362</v>
      </c>
      <c r="D196" s="20">
        <v>1249</v>
      </c>
      <c r="E196" s="20">
        <v>2172</v>
      </c>
      <c r="F196" s="20">
        <v>501.61662817551962</v>
      </c>
      <c r="G196" s="20" t="s">
        <v>452</v>
      </c>
      <c r="H196" s="20"/>
      <c r="I196" s="20"/>
      <c r="J196" s="20">
        <v>-3.643622761666514</v>
      </c>
      <c r="K196" s="20" t="s">
        <v>364</v>
      </c>
      <c r="L196" s="20" t="s">
        <v>363</v>
      </c>
      <c r="M196" s="20">
        <v>324.53910638297867</v>
      </c>
      <c r="N196" s="20" t="s">
        <v>365</v>
      </c>
      <c r="O196" s="20">
        <v>0.60241017815791942</v>
      </c>
    </row>
    <row r="197" spans="1:15" x14ac:dyDescent="0.2">
      <c r="A197" s="20" t="s">
        <v>741</v>
      </c>
      <c r="B197" s="20" t="s">
        <v>742</v>
      </c>
      <c r="C197" s="20" t="s">
        <v>362</v>
      </c>
      <c r="D197" s="20"/>
      <c r="E197" s="20"/>
      <c r="F197" s="20"/>
      <c r="G197" s="20"/>
      <c r="H197" s="20"/>
      <c r="I197" s="20"/>
      <c r="J197" s="20">
        <v>-1.384113661892663</v>
      </c>
      <c r="K197" s="20" t="s">
        <v>414</v>
      </c>
      <c r="L197" s="20" t="s">
        <v>363</v>
      </c>
      <c r="M197" s="20">
        <v>1217.7550000000001</v>
      </c>
      <c r="N197" s="20" t="s">
        <v>365</v>
      </c>
      <c r="O197" s="20">
        <v>0.37789226811923132</v>
      </c>
    </row>
    <row r="198" spans="1:15" x14ac:dyDescent="0.2">
      <c r="A198" s="20" t="s">
        <v>743</v>
      </c>
      <c r="B198" s="20" t="s">
        <v>744</v>
      </c>
      <c r="C198" s="20" t="s">
        <v>362</v>
      </c>
      <c r="D198" s="20">
        <v>1699</v>
      </c>
      <c r="E198" s="20">
        <v>372</v>
      </c>
      <c r="F198" s="20">
        <v>85.912240184757508</v>
      </c>
      <c r="G198" s="20" t="s">
        <v>510</v>
      </c>
      <c r="H198" s="20"/>
      <c r="I198" s="20"/>
      <c r="J198" s="20">
        <v>-1.384113661892663</v>
      </c>
      <c r="K198" s="20" t="s">
        <v>414</v>
      </c>
      <c r="L198" s="20" t="s">
        <v>363</v>
      </c>
      <c r="M198" s="20">
        <v>463.91835820895528</v>
      </c>
      <c r="N198" s="20" t="s">
        <v>365</v>
      </c>
      <c r="O198" s="20">
        <v>0.63865731843310325</v>
      </c>
    </row>
    <row r="199" spans="1:15" x14ac:dyDescent="0.2">
      <c r="A199" s="20" t="s">
        <v>745</v>
      </c>
      <c r="B199" s="20" t="s">
        <v>746</v>
      </c>
      <c r="C199" s="20" t="s">
        <v>362</v>
      </c>
      <c r="D199" s="20"/>
      <c r="E199" s="20"/>
      <c r="F199" s="20"/>
      <c r="G199" s="20"/>
      <c r="H199" s="20"/>
      <c r="I199" s="20"/>
      <c r="J199" s="20">
        <v>-1.384113661892663</v>
      </c>
      <c r="K199" s="20" t="s">
        <v>414</v>
      </c>
      <c r="L199" s="20" t="s">
        <v>363</v>
      </c>
      <c r="M199" s="20">
        <v>950.31666666666661</v>
      </c>
      <c r="N199" s="20" t="s">
        <v>365</v>
      </c>
      <c r="O199" s="20">
        <v>0.51524402800658975</v>
      </c>
    </row>
    <row r="200" spans="1:15" x14ac:dyDescent="0.2">
      <c r="A200" s="20" t="s">
        <v>747</v>
      </c>
      <c r="B200" s="20" t="s">
        <v>748</v>
      </c>
      <c r="C200" s="20" t="s">
        <v>362</v>
      </c>
      <c r="D200" s="20">
        <v>2399</v>
      </c>
      <c r="E200" s="20">
        <v>26</v>
      </c>
      <c r="F200" s="20">
        <v>6.0046189376443424</v>
      </c>
      <c r="G200" s="20" t="s">
        <v>510</v>
      </c>
      <c r="H200" s="20"/>
      <c r="I200" s="20"/>
      <c r="J200" s="20">
        <v>-1.384113661892663</v>
      </c>
      <c r="K200" s="20" t="s">
        <v>414</v>
      </c>
      <c r="L200" s="20" t="s">
        <v>363</v>
      </c>
      <c r="M200" s="20">
        <v>605.14812500000005</v>
      </c>
      <c r="N200" s="20" t="s">
        <v>365</v>
      </c>
      <c r="O200" s="20">
        <v>0.60285118641497992</v>
      </c>
    </row>
    <row r="201" spans="1:15" x14ac:dyDescent="0.2">
      <c r="A201" s="20" t="s">
        <v>749</v>
      </c>
      <c r="B201" s="20" t="s">
        <v>750</v>
      </c>
      <c r="C201" s="20" t="s">
        <v>362</v>
      </c>
      <c r="D201" s="20">
        <v>2599</v>
      </c>
      <c r="E201" s="20">
        <v>80</v>
      </c>
      <c r="F201" s="20">
        <v>18.475750577367201</v>
      </c>
      <c r="G201" s="20" t="s">
        <v>549</v>
      </c>
      <c r="H201" s="20"/>
      <c r="I201" s="20"/>
      <c r="J201" s="20">
        <v>-1.504740857521367</v>
      </c>
      <c r="K201" s="20" t="s">
        <v>364</v>
      </c>
      <c r="L201" s="20" t="s">
        <v>363</v>
      </c>
      <c r="M201" s="20">
        <v>714.15260869565213</v>
      </c>
      <c r="N201" s="20" t="s">
        <v>365</v>
      </c>
      <c r="O201" s="20">
        <v>0.45262908202622781</v>
      </c>
    </row>
    <row r="202" spans="1:15" x14ac:dyDescent="0.2">
      <c r="A202" s="20" t="s">
        <v>751</v>
      </c>
      <c r="B202" s="20" t="s">
        <v>752</v>
      </c>
      <c r="C202" s="20" t="s">
        <v>362</v>
      </c>
      <c r="D202" s="20">
        <v>2799</v>
      </c>
      <c r="E202" s="20">
        <v>821</v>
      </c>
      <c r="F202" s="20">
        <v>189.60739030023089</v>
      </c>
      <c r="G202" s="20" t="s">
        <v>549</v>
      </c>
      <c r="H202" s="20"/>
      <c r="I202" s="20"/>
      <c r="J202" s="20">
        <v>-1.504740857521367</v>
      </c>
      <c r="K202" s="20" t="s">
        <v>364</v>
      </c>
      <c r="L202" s="20" t="s">
        <v>363</v>
      </c>
      <c r="M202" s="20">
        <v>1082.4416986301369</v>
      </c>
      <c r="N202" s="20" t="s">
        <v>365</v>
      </c>
      <c r="O202" s="20">
        <v>0.50484687026453345</v>
      </c>
    </row>
    <row r="203" spans="1:15" x14ac:dyDescent="0.2">
      <c r="A203" s="20" t="s">
        <v>753</v>
      </c>
      <c r="B203" s="20" t="s">
        <v>754</v>
      </c>
      <c r="C203" s="20" t="s">
        <v>362</v>
      </c>
      <c r="D203" s="20">
        <v>3199</v>
      </c>
      <c r="E203" s="20">
        <v>315</v>
      </c>
      <c r="F203" s="20">
        <v>72.748267898383375</v>
      </c>
      <c r="G203" s="20" t="s">
        <v>549</v>
      </c>
      <c r="H203" s="20"/>
      <c r="I203" s="20"/>
      <c r="J203" s="20">
        <v>-1.504740857521367</v>
      </c>
      <c r="K203" s="20" t="s">
        <v>364</v>
      </c>
      <c r="L203" s="20" t="s">
        <v>363</v>
      </c>
      <c r="M203" s="20">
        <v>1104.6121212121211</v>
      </c>
      <c r="N203" s="20" t="s">
        <v>365</v>
      </c>
      <c r="O203" s="20">
        <v>0.51677519235107872</v>
      </c>
    </row>
    <row r="204" spans="1:15" x14ac:dyDescent="0.2">
      <c r="A204" s="20" t="s">
        <v>755</v>
      </c>
      <c r="B204" s="20" t="s">
        <v>756</v>
      </c>
      <c r="C204" s="20" t="s">
        <v>362</v>
      </c>
      <c r="D204" s="20">
        <v>3999</v>
      </c>
      <c r="E204" s="20">
        <v>14</v>
      </c>
      <c r="F204" s="20">
        <v>3.2332563510392611</v>
      </c>
      <c r="G204" s="20" t="s">
        <v>549</v>
      </c>
      <c r="H204" s="20"/>
      <c r="I204" s="20"/>
      <c r="J204" s="20">
        <v>-1.504740857521367</v>
      </c>
      <c r="K204" s="20" t="s">
        <v>364</v>
      </c>
      <c r="L204" s="20" t="s">
        <v>363</v>
      </c>
      <c r="M204" s="20">
        <v>1755.404545454546</v>
      </c>
      <c r="N204" s="20" t="s">
        <v>365</v>
      </c>
      <c r="O204" s="20">
        <v>0.51424355714123038</v>
      </c>
    </row>
    <row r="205" spans="1:15" x14ac:dyDescent="0.2">
      <c r="A205" s="20" t="s">
        <v>757</v>
      </c>
      <c r="B205" s="20" t="s">
        <v>758</v>
      </c>
      <c r="C205" s="20" t="s">
        <v>362</v>
      </c>
      <c r="D205" s="20">
        <v>2399</v>
      </c>
      <c r="E205" s="20">
        <v>11</v>
      </c>
      <c r="F205" s="20">
        <v>2.5404157043879909</v>
      </c>
      <c r="G205" s="20" t="s">
        <v>510</v>
      </c>
      <c r="H205" s="20"/>
      <c r="I205" s="20"/>
      <c r="J205" s="20">
        <v>-1.384113661892663</v>
      </c>
      <c r="K205" s="20" t="s">
        <v>414</v>
      </c>
      <c r="L205" s="20" t="s">
        <v>363</v>
      </c>
      <c r="M205" s="20">
        <v>597.09083333333331</v>
      </c>
      <c r="N205" s="20" t="s">
        <v>365</v>
      </c>
      <c r="O205" s="20">
        <v>0.70887818950105641</v>
      </c>
    </row>
    <row r="206" spans="1:15" x14ac:dyDescent="0.2">
      <c r="A206" s="20" t="s">
        <v>759</v>
      </c>
      <c r="B206" s="20" t="s">
        <v>760</v>
      </c>
      <c r="C206" s="20" t="s">
        <v>362</v>
      </c>
      <c r="D206" s="20">
        <v>2599</v>
      </c>
      <c r="E206" s="20">
        <v>81</v>
      </c>
      <c r="F206" s="20">
        <v>18.706697459584291</v>
      </c>
      <c r="G206" s="20" t="s">
        <v>549</v>
      </c>
      <c r="H206" s="20"/>
      <c r="I206" s="20"/>
      <c r="J206" s="20">
        <v>-1.504740857521367</v>
      </c>
      <c r="K206" s="20" t="s">
        <v>364</v>
      </c>
      <c r="L206" s="20" t="s">
        <v>363</v>
      </c>
      <c r="M206" s="20">
        <v>788.37451612903214</v>
      </c>
      <c r="N206" s="20" t="s">
        <v>365</v>
      </c>
      <c r="O206" s="20">
        <v>0.61476010507408141</v>
      </c>
    </row>
    <row r="207" spans="1:15" x14ac:dyDescent="0.2">
      <c r="A207" s="20" t="s">
        <v>761</v>
      </c>
      <c r="B207" s="20" t="s">
        <v>762</v>
      </c>
      <c r="C207" s="20" t="s">
        <v>362</v>
      </c>
      <c r="D207" s="20">
        <v>2799</v>
      </c>
      <c r="E207" s="20">
        <v>1159</v>
      </c>
      <c r="F207" s="20">
        <v>267.66743648960738</v>
      </c>
      <c r="G207" s="20" t="s">
        <v>549</v>
      </c>
      <c r="H207" s="20"/>
      <c r="I207" s="20"/>
      <c r="J207" s="20">
        <v>-1.504740857521367</v>
      </c>
      <c r="K207" s="20" t="s">
        <v>364</v>
      </c>
      <c r="L207" s="20" t="s">
        <v>363</v>
      </c>
      <c r="M207" s="20">
        <v>919.79475609756093</v>
      </c>
      <c r="N207" s="20" t="s">
        <v>365</v>
      </c>
      <c r="O207" s="20">
        <v>0.4882505399568034</v>
      </c>
    </row>
    <row r="208" spans="1:15" x14ac:dyDescent="0.2">
      <c r="A208" s="20" t="s">
        <v>763</v>
      </c>
      <c r="B208" s="20" t="s">
        <v>764</v>
      </c>
      <c r="C208" s="20" t="s">
        <v>362</v>
      </c>
      <c r="D208" s="20">
        <v>3199</v>
      </c>
      <c r="E208" s="20">
        <v>346</v>
      </c>
      <c r="F208" s="20">
        <v>79.90762124711317</v>
      </c>
      <c r="G208" s="20" t="s">
        <v>549</v>
      </c>
      <c r="H208" s="20"/>
      <c r="I208" s="20"/>
      <c r="J208" s="20">
        <v>-1.504740857521367</v>
      </c>
      <c r="K208" s="20" t="s">
        <v>364</v>
      </c>
      <c r="L208" s="20" t="s">
        <v>363</v>
      </c>
      <c r="M208" s="20">
        <v>1129.603866666667</v>
      </c>
      <c r="N208" s="20" t="s">
        <v>365</v>
      </c>
      <c r="O208" s="20">
        <v>0.5268675512146076</v>
      </c>
    </row>
    <row r="209" spans="1:15" x14ac:dyDescent="0.2">
      <c r="A209" s="20" t="s">
        <v>765</v>
      </c>
      <c r="B209" s="20" t="s">
        <v>766</v>
      </c>
      <c r="C209" s="20" t="s">
        <v>362</v>
      </c>
      <c r="D209" s="20">
        <v>3999</v>
      </c>
      <c r="E209" s="20">
        <v>12</v>
      </c>
      <c r="F209" s="20">
        <v>2.7713625866050808</v>
      </c>
      <c r="G209" s="20" t="s">
        <v>549</v>
      </c>
      <c r="H209" s="20"/>
      <c r="I209" s="20"/>
      <c r="J209" s="20">
        <v>-1.504740857521367</v>
      </c>
      <c r="K209" s="20" t="s">
        <v>364</v>
      </c>
      <c r="L209" s="20" t="s">
        <v>363</v>
      </c>
      <c r="M209" s="20">
        <v>1779.848333333334</v>
      </c>
      <c r="N209" s="20" t="s">
        <v>365</v>
      </c>
      <c r="O209" s="20">
        <v>0.39952261634432168</v>
      </c>
    </row>
    <row r="210" spans="1:15" x14ac:dyDescent="0.2">
      <c r="A210" s="20" t="s">
        <v>767</v>
      </c>
      <c r="B210" s="20" t="s">
        <v>768</v>
      </c>
      <c r="C210" s="20" t="s">
        <v>362</v>
      </c>
      <c r="D210" s="20"/>
      <c r="E210" s="20"/>
      <c r="F210" s="20"/>
      <c r="G210" s="20"/>
      <c r="H210" s="20"/>
      <c r="I210" s="20"/>
      <c r="J210" s="20">
        <v>-1.384113661892663</v>
      </c>
      <c r="K210" s="20" t="s">
        <v>414</v>
      </c>
      <c r="L210" s="20" t="s">
        <v>363</v>
      </c>
      <c r="M210" s="20"/>
      <c r="N210" s="20" t="s">
        <v>373</v>
      </c>
      <c r="O210" s="20"/>
    </row>
    <row r="211" spans="1:15" x14ac:dyDescent="0.2">
      <c r="A211" s="20" t="s">
        <v>769</v>
      </c>
      <c r="B211" s="20" t="s">
        <v>770</v>
      </c>
      <c r="C211" s="20" t="s">
        <v>362</v>
      </c>
      <c r="D211" s="20"/>
      <c r="E211" s="20"/>
      <c r="F211" s="20"/>
      <c r="G211" s="20"/>
      <c r="H211" s="20"/>
      <c r="I211" s="20"/>
      <c r="J211" s="20">
        <v>-1.384113661892663</v>
      </c>
      <c r="K211" s="20" t="s">
        <v>414</v>
      </c>
      <c r="L211" s="20" t="s">
        <v>363</v>
      </c>
      <c r="M211" s="20">
        <v>665.34</v>
      </c>
      <c r="N211" s="20" t="s">
        <v>365</v>
      </c>
      <c r="O211" s="20">
        <v>0.45209433203805433</v>
      </c>
    </row>
    <row r="212" spans="1:15" x14ac:dyDescent="0.2">
      <c r="A212" s="20" t="s">
        <v>771</v>
      </c>
      <c r="B212" s="20" t="s">
        <v>772</v>
      </c>
      <c r="C212" s="20" t="s">
        <v>362</v>
      </c>
      <c r="D212" s="20"/>
      <c r="E212" s="20"/>
      <c r="F212" s="20"/>
      <c r="G212" s="20"/>
      <c r="H212" s="20"/>
      <c r="I212" s="20"/>
      <c r="J212" s="20">
        <v>-1.384113661892663</v>
      </c>
      <c r="K212" s="20" t="s">
        <v>414</v>
      </c>
      <c r="L212" s="20" t="s">
        <v>363</v>
      </c>
      <c r="M212" s="20">
        <v>1417.115</v>
      </c>
      <c r="N212" s="20" t="s">
        <v>365</v>
      </c>
      <c r="O212" s="20">
        <v>0.58894416243654812</v>
      </c>
    </row>
    <row r="213" spans="1:15" x14ac:dyDescent="0.2">
      <c r="A213" s="20" t="s">
        <v>773</v>
      </c>
      <c r="B213" s="20" t="s">
        <v>774</v>
      </c>
      <c r="C213" s="20" t="s">
        <v>362</v>
      </c>
      <c r="D213" s="20"/>
      <c r="E213" s="20"/>
      <c r="F213" s="20"/>
      <c r="G213" s="20"/>
      <c r="H213" s="20"/>
      <c r="I213" s="20"/>
      <c r="J213" s="20">
        <v>-1.384113661892663</v>
      </c>
      <c r="K213" s="20" t="s">
        <v>414</v>
      </c>
      <c r="L213" s="20" t="s">
        <v>363</v>
      </c>
      <c r="M213" s="20"/>
      <c r="N213" s="20" t="s">
        <v>373</v>
      </c>
      <c r="O213" s="20"/>
    </row>
    <row r="214" spans="1:15" x14ac:dyDescent="0.2">
      <c r="A214" s="20" t="s">
        <v>775</v>
      </c>
      <c r="B214" s="20" t="s">
        <v>776</v>
      </c>
      <c r="C214" s="20" t="s">
        <v>362</v>
      </c>
      <c r="D214" s="20"/>
      <c r="E214" s="20"/>
      <c r="F214" s="20"/>
      <c r="G214" s="20"/>
      <c r="H214" s="20"/>
      <c r="I214" s="20"/>
      <c r="J214" s="20">
        <v>-1.384113661892663</v>
      </c>
      <c r="K214" s="20" t="s">
        <v>414</v>
      </c>
      <c r="L214" s="20" t="s">
        <v>363</v>
      </c>
      <c r="M214" s="20">
        <v>305.56</v>
      </c>
      <c r="N214" s="20" t="s">
        <v>365</v>
      </c>
      <c r="O214" s="20">
        <v>0.71389513108614233</v>
      </c>
    </row>
    <row r="215" spans="1:15" x14ac:dyDescent="0.2">
      <c r="A215" s="20" t="s">
        <v>777</v>
      </c>
      <c r="B215" s="20" t="s">
        <v>778</v>
      </c>
      <c r="C215" s="20" t="s">
        <v>362</v>
      </c>
      <c r="D215" s="20"/>
      <c r="E215" s="20"/>
      <c r="F215" s="20"/>
      <c r="G215" s="20"/>
      <c r="H215" s="20"/>
      <c r="I215" s="20"/>
      <c r="J215" s="20">
        <v>-1.384113661892663</v>
      </c>
      <c r="K215" s="20" t="s">
        <v>414</v>
      </c>
      <c r="L215" s="20" t="s">
        <v>363</v>
      </c>
      <c r="M215" s="20">
        <v>1224.4766666666669</v>
      </c>
      <c r="N215" s="20" t="s">
        <v>365</v>
      </c>
      <c r="O215" s="20">
        <v>0.65834914434523806</v>
      </c>
    </row>
    <row r="216" spans="1:15" x14ac:dyDescent="0.2">
      <c r="A216" s="20" t="s">
        <v>779</v>
      </c>
      <c r="B216" s="20" t="s">
        <v>780</v>
      </c>
      <c r="C216" s="20" t="s">
        <v>362</v>
      </c>
      <c r="D216" s="20">
        <v>1599</v>
      </c>
      <c r="E216" s="20">
        <v>95</v>
      </c>
      <c r="F216" s="20">
        <v>21.93995381062356</v>
      </c>
      <c r="G216" s="20" t="s">
        <v>510</v>
      </c>
      <c r="H216" s="20"/>
      <c r="I216" s="20"/>
      <c r="J216" s="20">
        <v>-1.384113661892663</v>
      </c>
      <c r="K216" s="20" t="s">
        <v>414</v>
      </c>
      <c r="L216" s="20" t="s">
        <v>363</v>
      </c>
      <c r="M216" s="20">
        <v>366.27</v>
      </c>
      <c r="N216" s="20" t="s">
        <v>365</v>
      </c>
      <c r="O216" s="20">
        <v>0.5063394383394384</v>
      </c>
    </row>
    <row r="217" spans="1:15" x14ac:dyDescent="0.2">
      <c r="A217" s="20" t="s">
        <v>781</v>
      </c>
      <c r="B217" s="20" t="s">
        <v>782</v>
      </c>
      <c r="C217" s="20" t="s">
        <v>362</v>
      </c>
      <c r="D217" s="20"/>
      <c r="E217" s="20"/>
      <c r="F217" s="20"/>
      <c r="G217" s="20"/>
      <c r="H217" s="20"/>
      <c r="I217" s="20"/>
      <c r="J217" s="20">
        <v>-1.384113661892663</v>
      </c>
      <c r="K217" s="20" t="s">
        <v>414</v>
      </c>
      <c r="L217" s="20" t="s">
        <v>363</v>
      </c>
      <c r="M217" s="20">
        <v>642.75</v>
      </c>
      <c r="N217" s="20" t="s">
        <v>365</v>
      </c>
      <c r="O217" s="20">
        <v>0.44497169497169498</v>
      </c>
    </row>
    <row r="218" spans="1:15" x14ac:dyDescent="0.2">
      <c r="A218" s="20" t="s">
        <v>783</v>
      </c>
      <c r="B218" s="20" t="s">
        <v>784</v>
      </c>
      <c r="C218" s="20" t="s">
        <v>362</v>
      </c>
      <c r="D218" s="20">
        <v>1599</v>
      </c>
      <c r="E218" s="20">
        <v>43</v>
      </c>
      <c r="F218" s="20">
        <v>9.930715935334872</v>
      </c>
      <c r="G218" s="20" t="s">
        <v>510</v>
      </c>
      <c r="H218" s="20"/>
      <c r="I218" s="20"/>
      <c r="J218" s="20">
        <v>-1.384113661892663</v>
      </c>
      <c r="K218" s="20" t="s">
        <v>414</v>
      </c>
      <c r="L218" s="20" t="s">
        <v>363</v>
      </c>
      <c r="M218" s="20">
        <v>484.48333333333329</v>
      </c>
      <c r="N218" s="20" t="s">
        <v>365</v>
      </c>
      <c r="O218" s="20">
        <v>0.54727038222089941</v>
      </c>
    </row>
    <row r="219" spans="1:15" x14ac:dyDescent="0.2">
      <c r="A219" s="20" t="s">
        <v>785</v>
      </c>
      <c r="B219" s="20" t="s">
        <v>786</v>
      </c>
      <c r="C219" s="20" t="s">
        <v>362</v>
      </c>
      <c r="D219" s="20">
        <v>2699</v>
      </c>
      <c r="E219" s="20">
        <v>40</v>
      </c>
      <c r="F219" s="20">
        <v>9.2378752886836022</v>
      </c>
      <c r="G219" s="20" t="s">
        <v>549</v>
      </c>
      <c r="H219" s="20"/>
      <c r="I219" s="20"/>
      <c r="J219" s="20">
        <v>-1.504740857521367</v>
      </c>
      <c r="K219" s="20" t="s">
        <v>364</v>
      </c>
      <c r="L219" s="20" t="s">
        <v>363</v>
      </c>
      <c r="M219" s="20">
        <v>724.98000000000013</v>
      </c>
      <c r="N219" s="20" t="s">
        <v>365</v>
      </c>
      <c r="O219" s="20">
        <v>0.49711330260478082</v>
      </c>
    </row>
    <row r="220" spans="1:15" x14ac:dyDescent="0.2">
      <c r="A220" s="20" t="s">
        <v>787</v>
      </c>
      <c r="B220" s="20" t="s">
        <v>788</v>
      </c>
      <c r="C220" s="20" t="s">
        <v>362</v>
      </c>
      <c r="D220" s="20">
        <v>2799</v>
      </c>
      <c r="E220" s="20">
        <v>16</v>
      </c>
      <c r="F220" s="20">
        <v>3.695150115473441</v>
      </c>
      <c r="G220" s="20" t="s">
        <v>549</v>
      </c>
      <c r="H220" s="20"/>
      <c r="I220" s="20"/>
      <c r="J220" s="20">
        <v>-1.504740857521367</v>
      </c>
      <c r="K220" s="20" t="s">
        <v>364</v>
      </c>
      <c r="L220" s="20" t="s">
        <v>363</v>
      </c>
      <c r="M220" s="20">
        <v>687.13</v>
      </c>
      <c r="N220" s="20" t="s">
        <v>365</v>
      </c>
      <c r="O220" s="20">
        <v>0.59114654333008765</v>
      </c>
    </row>
    <row r="221" spans="1:15" x14ac:dyDescent="0.2">
      <c r="A221" s="20" t="s">
        <v>789</v>
      </c>
      <c r="B221" s="20" t="s">
        <v>790</v>
      </c>
      <c r="C221" s="20" t="s">
        <v>362</v>
      </c>
      <c r="D221" s="20"/>
      <c r="E221" s="20"/>
      <c r="F221" s="20"/>
      <c r="G221" s="20"/>
      <c r="H221" s="20"/>
      <c r="I221" s="20"/>
      <c r="J221" s="20">
        <v>-1.384113661892663</v>
      </c>
      <c r="K221" s="20" t="s">
        <v>414</v>
      </c>
      <c r="L221" s="20" t="s">
        <v>363</v>
      </c>
      <c r="M221" s="20">
        <v>2322.6149999999998</v>
      </c>
      <c r="N221" s="20" t="s">
        <v>365</v>
      </c>
      <c r="O221" s="20">
        <v>0.68246428327295106</v>
      </c>
    </row>
    <row r="222" spans="1:15" x14ac:dyDescent="0.2">
      <c r="A222" s="20" t="s">
        <v>791</v>
      </c>
      <c r="B222" s="20" t="s">
        <v>792</v>
      </c>
      <c r="C222" s="20" t="s">
        <v>362</v>
      </c>
      <c r="D222" s="20">
        <v>2199</v>
      </c>
      <c r="E222" s="20">
        <v>11</v>
      </c>
      <c r="F222" s="20">
        <v>2.5404157043879909</v>
      </c>
      <c r="G222" s="20" t="s">
        <v>510</v>
      </c>
      <c r="H222" s="20"/>
      <c r="I222" s="20"/>
      <c r="J222" s="20">
        <v>-1.384113661892663</v>
      </c>
      <c r="K222" s="20" t="s">
        <v>414</v>
      </c>
      <c r="L222" s="20" t="s">
        <v>363</v>
      </c>
      <c r="M222" s="20">
        <v>644.36333333333323</v>
      </c>
      <c r="N222" s="20" t="s">
        <v>365</v>
      </c>
      <c r="O222" s="20">
        <v>0.70658891980774097</v>
      </c>
    </row>
    <row r="223" spans="1:15" x14ac:dyDescent="0.2">
      <c r="A223" s="20" t="s">
        <v>793</v>
      </c>
      <c r="B223" s="20" t="s">
        <v>794</v>
      </c>
      <c r="C223" s="20" t="s">
        <v>362</v>
      </c>
      <c r="D223" s="20"/>
      <c r="E223" s="20"/>
      <c r="F223" s="20"/>
      <c r="G223" s="20"/>
      <c r="H223" s="20"/>
      <c r="I223" s="20"/>
      <c r="J223" s="20">
        <v>-1.384113661892663</v>
      </c>
      <c r="K223" s="20" t="s">
        <v>414</v>
      </c>
      <c r="L223" s="20" t="s">
        <v>363</v>
      </c>
      <c r="M223" s="20">
        <v>1517.93</v>
      </c>
      <c r="N223" s="20" t="s">
        <v>365</v>
      </c>
      <c r="O223" s="20">
        <v>0.69782415394824149</v>
      </c>
    </row>
    <row r="224" spans="1:15" x14ac:dyDescent="0.2">
      <c r="A224" s="20" t="s">
        <v>795</v>
      </c>
      <c r="B224" s="20" t="s">
        <v>796</v>
      </c>
      <c r="C224" s="20" t="s">
        <v>362</v>
      </c>
      <c r="D224" s="20">
        <v>2998</v>
      </c>
      <c r="E224" s="20">
        <v>14</v>
      </c>
      <c r="F224" s="20">
        <v>3.2332563510392611</v>
      </c>
      <c r="G224" s="20" t="s">
        <v>549</v>
      </c>
      <c r="H224" s="20"/>
      <c r="I224" s="20"/>
      <c r="J224" s="20">
        <v>-1.504740857521367</v>
      </c>
      <c r="K224" s="20" t="s">
        <v>364</v>
      </c>
      <c r="L224" s="20" t="s">
        <v>363</v>
      </c>
      <c r="M224" s="20">
        <v>1809.192</v>
      </c>
      <c r="N224" s="20" t="s">
        <v>365</v>
      </c>
      <c r="O224" s="20">
        <v>0.39268479355488412</v>
      </c>
    </row>
    <row r="225" spans="1:15" x14ac:dyDescent="0.2">
      <c r="A225" s="20" t="s">
        <v>797</v>
      </c>
      <c r="B225" s="20" t="s">
        <v>798</v>
      </c>
      <c r="C225" s="20" t="s">
        <v>362</v>
      </c>
      <c r="D225" s="20">
        <v>2299</v>
      </c>
      <c r="E225" s="20">
        <v>38</v>
      </c>
      <c r="F225" s="20">
        <v>8.7759815242494223</v>
      </c>
      <c r="G225" s="20" t="s">
        <v>510</v>
      </c>
      <c r="H225" s="20"/>
      <c r="I225" s="20"/>
      <c r="J225" s="20">
        <v>-1.384113661892663</v>
      </c>
      <c r="K225" s="20" t="s">
        <v>414</v>
      </c>
      <c r="L225" s="20" t="s">
        <v>363</v>
      </c>
      <c r="M225" s="20">
        <v>785.67307692307679</v>
      </c>
      <c r="N225" s="20" t="s">
        <v>365</v>
      </c>
      <c r="O225" s="20">
        <v>0.60226323442962781</v>
      </c>
    </row>
    <row r="226" spans="1:15" x14ac:dyDescent="0.2">
      <c r="A226" s="20" t="s">
        <v>799</v>
      </c>
      <c r="B226" s="20" t="s">
        <v>800</v>
      </c>
      <c r="C226" s="20" t="s">
        <v>362</v>
      </c>
      <c r="D226" s="20">
        <v>2499</v>
      </c>
      <c r="E226" s="20">
        <v>1262</v>
      </c>
      <c r="F226" s="20">
        <v>291.45496535796758</v>
      </c>
      <c r="G226" s="20" t="s">
        <v>510</v>
      </c>
      <c r="H226" s="20"/>
      <c r="I226" s="20"/>
      <c r="J226" s="20">
        <v>-1.384113661892663</v>
      </c>
      <c r="K226" s="20" t="s">
        <v>414</v>
      </c>
      <c r="L226" s="20" t="s">
        <v>363</v>
      </c>
      <c r="M226" s="20">
        <v>946.60524324324319</v>
      </c>
      <c r="N226" s="20" t="s">
        <v>365</v>
      </c>
      <c r="O226" s="20">
        <v>0.50187054210283155</v>
      </c>
    </row>
    <row r="227" spans="1:15" x14ac:dyDescent="0.2">
      <c r="A227" s="20" t="s">
        <v>801</v>
      </c>
      <c r="B227" s="20" t="s">
        <v>802</v>
      </c>
      <c r="C227" s="20" t="s">
        <v>362</v>
      </c>
      <c r="D227" s="20"/>
      <c r="E227" s="20"/>
      <c r="F227" s="20"/>
      <c r="G227" s="20"/>
      <c r="H227" s="20"/>
      <c r="I227" s="20"/>
      <c r="J227" s="20">
        <v>-1.384113661892663</v>
      </c>
      <c r="K227" s="20" t="s">
        <v>414</v>
      </c>
      <c r="L227" s="20" t="s">
        <v>363</v>
      </c>
      <c r="M227" s="20">
        <v>245.57</v>
      </c>
      <c r="N227" s="20" t="s">
        <v>365</v>
      </c>
      <c r="O227" s="20">
        <v>0.50376164680390034</v>
      </c>
    </row>
    <row r="228" spans="1:15" x14ac:dyDescent="0.2">
      <c r="A228" s="20" t="s">
        <v>803</v>
      </c>
      <c r="B228" s="20" t="s">
        <v>804</v>
      </c>
      <c r="C228" s="20" t="s">
        <v>362</v>
      </c>
      <c r="D228" s="20">
        <v>2499</v>
      </c>
      <c r="E228" s="20">
        <v>24</v>
      </c>
      <c r="F228" s="20">
        <v>5.5427251732101617</v>
      </c>
      <c r="G228" s="20" t="s">
        <v>510</v>
      </c>
      <c r="H228" s="20"/>
      <c r="I228" s="20"/>
      <c r="J228" s="20">
        <v>-1.384113661892663</v>
      </c>
      <c r="K228" s="20" t="s">
        <v>414</v>
      </c>
      <c r="L228" s="20" t="s">
        <v>363</v>
      </c>
      <c r="M228" s="20">
        <v>656.50000000000011</v>
      </c>
      <c r="N228" s="20" t="s">
        <v>365</v>
      </c>
      <c r="O228" s="20">
        <v>0.74234693877551017</v>
      </c>
    </row>
    <row r="229" spans="1:15" x14ac:dyDescent="0.2">
      <c r="A229" s="20" t="s">
        <v>805</v>
      </c>
      <c r="B229" s="20" t="s">
        <v>806</v>
      </c>
      <c r="C229" s="20" t="s">
        <v>362</v>
      </c>
      <c r="D229" s="20">
        <v>1450</v>
      </c>
      <c r="E229" s="20">
        <v>26</v>
      </c>
      <c r="F229" s="20">
        <v>6.0046189376443424</v>
      </c>
      <c r="G229" s="20" t="s">
        <v>452</v>
      </c>
      <c r="H229" s="20"/>
      <c r="I229" s="20"/>
      <c r="J229" s="20">
        <v>-3.643622761666514</v>
      </c>
      <c r="K229" s="20" t="s">
        <v>364</v>
      </c>
      <c r="L229" s="20" t="s">
        <v>363</v>
      </c>
      <c r="M229" s="20">
        <v>295.58166666666659</v>
      </c>
      <c r="N229" s="20" t="s">
        <v>365</v>
      </c>
      <c r="O229" s="20">
        <v>0.7874277837708259</v>
      </c>
    </row>
    <row r="230" spans="1:15" x14ac:dyDescent="0.2">
      <c r="A230" s="20" t="s">
        <v>807</v>
      </c>
      <c r="B230" s="20" t="s">
        <v>808</v>
      </c>
      <c r="C230" s="20" t="s">
        <v>362</v>
      </c>
      <c r="D230" s="20">
        <v>1399</v>
      </c>
      <c r="E230" s="20">
        <v>13</v>
      </c>
      <c r="F230" s="20">
        <v>3.0023094688221712</v>
      </c>
      <c r="G230" s="20" t="s">
        <v>452</v>
      </c>
      <c r="H230" s="20"/>
      <c r="I230" s="20"/>
      <c r="J230" s="20">
        <v>-3.643622761666514</v>
      </c>
      <c r="K230" s="20" t="s">
        <v>364</v>
      </c>
      <c r="L230" s="20" t="s">
        <v>363</v>
      </c>
      <c r="M230" s="20">
        <v>487.245</v>
      </c>
      <c r="N230" s="20" t="s">
        <v>365</v>
      </c>
      <c r="O230" s="20">
        <v>0.65735232067510552</v>
      </c>
    </row>
    <row r="231" spans="1:15" x14ac:dyDescent="0.2">
      <c r="A231" s="20" t="s">
        <v>809</v>
      </c>
      <c r="B231" s="20" t="s">
        <v>810</v>
      </c>
      <c r="C231" s="20" t="s">
        <v>362</v>
      </c>
      <c r="D231" s="20">
        <v>1999</v>
      </c>
      <c r="E231" s="20">
        <v>84</v>
      </c>
      <c r="F231" s="20">
        <v>19.399538106235561</v>
      </c>
      <c r="G231" s="20" t="s">
        <v>510</v>
      </c>
      <c r="H231" s="20"/>
      <c r="I231" s="20"/>
      <c r="J231" s="20">
        <v>-1.384113661892663</v>
      </c>
      <c r="K231" s="20" t="s">
        <v>414</v>
      </c>
      <c r="L231" s="20" t="s">
        <v>363</v>
      </c>
      <c r="M231" s="20">
        <v>577.65</v>
      </c>
      <c r="N231" s="20" t="s">
        <v>365</v>
      </c>
      <c r="O231" s="20">
        <v>0.64526529108327191</v>
      </c>
    </row>
    <row r="232" spans="1:15" x14ac:dyDescent="0.2">
      <c r="A232" s="20" t="s">
        <v>811</v>
      </c>
      <c r="B232" s="20" t="s">
        <v>812</v>
      </c>
      <c r="C232" s="20" t="s">
        <v>362</v>
      </c>
      <c r="D232" s="20"/>
      <c r="E232" s="20"/>
      <c r="F232" s="20"/>
      <c r="G232" s="20"/>
      <c r="H232" s="20"/>
      <c r="I232" s="20"/>
      <c r="J232" s="20">
        <v>-1.384113661892663</v>
      </c>
      <c r="K232" s="20" t="s">
        <v>414</v>
      </c>
      <c r="L232" s="20" t="s">
        <v>363</v>
      </c>
      <c r="M232" s="20">
        <v>851.14400000000001</v>
      </c>
      <c r="N232" s="20" t="s">
        <v>365</v>
      </c>
      <c r="O232" s="20">
        <v>0.6702270437814799</v>
      </c>
    </row>
    <row r="233" spans="1:15" x14ac:dyDescent="0.2">
      <c r="A233" s="20" t="s">
        <v>813</v>
      </c>
      <c r="B233" s="20" t="s">
        <v>814</v>
      </c>
      <c r="C233" s="20" t="s">
        <v>362</v>
      </c>
      <c r="D233" s="20"/>
      <c r="E233" s="20"/>
      <c r="F233" s="20"/>
      <c r="G233" s="20"/>
      <c r="H233" s="20"/>
      <c r="I233" s="20"/>
      <c r="J233" s="20">
        <v>-1.384113661892663</v>
      </c>
      <c r="K233" s="20" t="s">
        <v>414</v>
      </c>
      <c r="L233" s="20" t="s">
        <v>363</v>
      </c>
      <c r="M233" s="20">
        <v>873.26</v>
      </c>
      <c r="N233" s="20" t="s">
        <v>365</v>
      </c>
      <c r="O233" s="20">
        <v>0.46659043945447032</v>
      </c>
    </row>
    <row r="234" spans="1:15" x14ac:dyDescent="0.2">
      <c r="A234" s="20" t="s">
        <v>815</v>
      </c>
      <c r="B234" s="20" t="s">
        <v>816</v>
      </c>
      <c r="C234" s="20" t="s">
        <v>362</v>
      </c>
      <c r="D234" s="20">
        <v>3299</v>
      </c>
      <c r="E234" s="20">
        <v>344</v>
      </c>
      <c r="F234" s="20">
        <v>79.445727482678976</v>
      </c>
      <c r="G234" s="20" t="s">
        <v>549</v>
      </c>
      <c r="H234" s="20"/>
      <c r="I234" s="20"/>
      <c r="J234" s="20">
        <v>-1.504740857521367</v>
      </c>
      <c r="K234" s="20" t="s">
        <v>364</v>
      </c>
      <c r="L234" s="20" t="s">
        <v>363</v>
      </c>
      <c r="M234" s="20">
        <v>1251.6930909090911</v>
      </c>
      <c r="N234" s="20" t="s">
        <v>365</v>
      </c>
      <c r="O234" s="20">
        <v>0.54033946041363989</v>
      </c>
    </row>
    <row r="235" spans="1:15" x14ac:dyDescent="0.2">
      <c r="A235" s="20" t="s">
        <v>817</v>
      </c>
      <c r="B235" s="20" t="s">
        <v>818</v>
      </c>
      <c r="C235" s="20" t="s">
        <v>362</v>
      </c>
      <c r="D235" s="20">
        <v>4499</v>
      </c>
      <c r="E235" s="20">
        <v>54</v>
      </c>
      <c r="F235" s="20">
        <v>12.471131639722859</v>
      </c>
      <c r="G235" s="20" t="s">
        <v>549</v>
      </c>
      <c r="H235" s="20"/>
      <c r="I235" s="20"/>
      <c r="J235" s="20">
        <v>-1.504740857521367</v>
      </c>
      <c r="K235" s="20" t="s">
        <v>364</v>
      </c>
      <c r="L235" s="20" t="s">
        <v>363</v>
      </c>
      <c r="M235" s="20">
        <v>3447.6734883720928</v>
      </c>
      <c r="N235" s="20" t="s">
        <v>365</v>
      </c>
      <c r="O235" s="20">
        <v>0.1166401944981444</v>
      </c>
    </row>
    <row r="236" spans="1:15" x14ac:dyDescent="0.2">
      <c r="A236" s="20" t="s">
        <v>819</v>
      </c>
      <c r="B236" s="20" t="s">
        <v>820</v>
      </c>
      <c r="C236" s="20" t="s">
        <v>362</v>
      </c>
      <c r="D236" s="20">
        <v>2499</v>
      </c>
      <c r="E236" s="20">
        <v>5392</v>
      </c>
      <c r="F236" s="20">
        <v>1245.2655889145501</v>
      </c>
      <c r="G236" s="20" t="s">
        <v>510</v>
      </c>
      <c r="H236" s="20"/>
      <c r="I236" s="20"/>
      <c r="J236" s="20">
        <v>-1.384113661892663</v>
      </c>
      <c r="K236" s="20" t="s">
        <v>414</v>
      </c>
      <c r="L236" s="20" t="s">
        <v>363</v>
      </c>
      <c r="M236" s="20">
        <v>919.77102201257856</v>
      </c>
      <c r="N236" s="20" t="s">
        <v>365</v>
      </c>
      <c r="O236" s="20">
        <v>0.50993087925816272</v>
      </c>
    </row>
    <row r="237" spans="1:15" x14ac:dyDescent="0.2">
      <c r="A237" s="20" t="s">
        <v>821</v>
      </c>
      <c r="B237" s="20" t="s">
        <v>822</v>
      </c>
      <c r="C237" s="20" t="s">
        <v>362</v>
      </c>
      <c r="D237" s="20"/>
      <c r="E237" s="20"/>
      <c r="F237" s="20"/>
      <c r="G237" s="20"/>
      <c r="H237" s="20"/>
      <c r="I237" s="20"/>
      <c r="J237" s="20">
        <v>-1.384113661892663</v>
      </c>
      <c r="K237" s="20" t="s">
        <v>414</v>
      </c>
      <c r="L237" s="20" t="s">
        <v>363</v>
      </c>
      <c r="M237" s="20">
        <v>982.34249999999997</v>
      </c>
      <c r="N237" s="20" t="s">
        <v>365</v>
      </c>
      <c r="O237" s="20">
        <v>0.56371124245393345</v>
      </c>
    </row>
    <row r="238" spans="1:15" x14ac:dyDescent="0.2">
      <c r="A238" s="20" t="s">
        <v>823</v>
      </c>
      <c r="B238" s="20" t="s">
        <v>824</v>
      </c>
      <c r="C238" s="20" t="s">
        <v>362</v>
      </c>
      <c r="D238" s="20">
        <v>2500</v>
      </c>
      <c r="E238" s="20">
        <v>15</v>
      </c>
      <c r="F238" s="20">
        <v>3.464203233256351</v>
      </c>
      <c r="G238" s="20" t="s">
        <v>549</v>
      </c>
      <c r="H238" s="20"/>
      <c r="I238" s="20"/>
      <c r="J238" s="20">
        <v>-1.504740857521367</v>
      </c>
      <c r="K238" s="20" t="s">
        <v>364</v>
      </c>
      <c r="L238" s="20" t="s">
        <v>363</v>
      </c>
      <c r="M238" s="20">
        <v>875.8900000000001</v>
      </c>
      <c r="N238" s="20" t="s">
        <v>365</v>
      </c>
      <c r="O238" s="20">
        <v>0.56183591795897947</v>
      </c>
    </row>
    <row r="239" spans="1:15" x14ac:dyDescent="0.2">
      <c r="A239" s="20" t="s">
        <v>825</v>
      </c>
      <c r="B239" s="20" t="s">
        <v>826</v>
      </c>
      <c r="C239" s="20" t="s">
        <v>362</v>
      </c>
      <c r="D239" s="20">
        <v>4699</v>
      </c>
      <c r="E239" s="20">
        <v>61</v>
      </c>
      <c r="F239" s="20">
        <v>14.087759815242491</v>
      </c>
      <c r="G239" s="20" t="s">
        <v>549</v>
      </c>
      <c r="H239" s="20"/>
      <c r="I239" s="20"/>
      <c r="J239" s="20">
        <v>-1.504740857521367</v>
      </c>
      <c r="K239" s="20" t="s">
        <v>364</v>
      </c>
      <c r="L239" s="20" t="s">
        <v>363</v>
      </c>
      <c r="M239" s="20">
        <v>1291.9605882352939</v>
      </c>
      <c r="N239" s="20" t="s">
        <v>365</v>
      </c>
      <c r="O239" s="20">
        <v>0.67013097780366282</v>
      </c>
    </row>
    <row r="240" spans="1:15" x14ac:dyDescent="0.2">
      <c r="A240" s="20" t="s">
        <v>827</v>
      </c>
      <c r="B240" s="20" t="s">
        <v>828</v>
      </c>
      <c r="C240" s="20" t="s">
        <v>362</v>
      </c>
      <c r="D240" s="20"/>
      <c r="E240" s="20"/>
      <c r="F240" s="20"/>
      <c r="G240" s="20"/>
      <c r="H240" s="20"/>
      <c r="I240" s="20"/>
      <c r="J240" s="20">
        <v>-1.384113661892663</v>
      </c>
      <c r="K240" s="20" t="s">
        <v>414</v>
      </c>
      <c r="L240" s="20" t="s">
        <v>363</v>
      </c>
      <c r="M240" s="20">
        <v>2588.87</v>
      </c>
      <c r="N240" s="20" t="s">
        <v>365</v>
      </c>
      <c r="O240" s="20">
        <v>0.72880054473077727</v>
      </c>
    </row>
    <row r="241" spans="1:15" x14ac:dyDescent="0.2">
      <c r="A241" s="20" t="s">
        <v>829</v>
      </c>
      <c r="B241" s="20" t="s">
        <v>830</v>
      </c>
      <c r="C241" s="20" t="s">
        <v>362</v>
      </c>
      <c r="D241" s="20">
        <v>4699</v>
      </c>
      <c r="E241" s="20">
        <v>38</v>
      </c>
      <c r="F241" s="20">
        <v>8.7759815242494223</v>
      </c>
      <c r="G241" s="20" t="s">
        <v>549</v>
      </c>
      <c r="H241" s="20"/>
      <c r="I241" s="20"/>
      <c r="J241" s="20">
        <v>-1.504740857521367</v>
      </c>
      <c r="K241" s="20" t="s">
        <v>364</v>
      </c>
      <c r="L241" s="20" t="s">
        <v>363</v>
      </c>
      <c r="M241" s="20">
        <v>1518.8050000000001</v>
      </c>
      <c r="N241" s="20" t="s">
        <v>365</v>
      </c>
      <c r="O241" s="20">
        <v>0.52278988168094653</v>
      </c>
    </row>
    <row r="242" spans="1:15" x14ac:dyDescent="0.2">
      <c r="A242" s="20" t="s">
        <v>831</v>
      </c>
      <c r="B242" s="20" t="s">
        <v>832</v>
      </c>
      <c r="C242" s="20" t="s">
        <v>362</v>
      </c>
      <c r="D242" s="20">
        <v>1199</v>
      </c>
      <c r="E242" s="20">
        <v>59</v>
      </c>
      <c r="F242" s="20">
        <v>13.625866050808311</v>
      </c>
      <c r="G242" s="20" t="s">
        <v>452</v>
      </c>
      <c r="H242" s="20"/>
      <c r="I242" s="20"/>
      <c r="J242" s="20">
        <v>-3.643622761666514</v>
      </c>
      <c r="K242" s="20" t="s">
        <v>364</v>
      </c>
      <c r="L242" s="20" t="s">
        <v>363</v>
      </c>
      <c r="M242" s="20">
        <v>238.94333333333341</v>
      </c>
      <c r="N242" s="20" t="s">
        <v>365</v>
      </c>
      <c r="O242" s="20">
        <v>0.79252387843704775</v>
      </c>
    </row>
    <row r="243" spans="1:15" x14ac:dyDescent="0.2">
      <c r="A243" s="20" t="s">
        <v>833</v>
      </c>
      <c r="B243" s="20" t="s">
        <v>834</v>
      </c>
      <c r="C243" s="20" t="s">
        <v>362</v>
      </c>
      <c r="D243" s="20">
        <v>799</v>
      </c>
      <c r="E243" s="20">
        <v>174</v>
      </c>
      <c r="F243" s="20">
        <v>40.184757505773668</v>
      </c>
      <c r="G243" s="20" t="s">
        <v>463</v>
      </c>
      <c r="H243" s="20"/>
      <c r="I243" s="20"/>
      <c r="J243" s="20">
        <v>-2.6197664336783242</v>
      </c>
      <c r="K243" s="20" t="s">
        <v>364</v>
      </c>
      <c r="L243" s="20" t="s">
        <v>363</v>
      </c>
      <c r="M243" s="20">
        <v>131.39750000000001</v>
      </c>
      <c r="N243" s="20" t="s">
        <v>365</v>
      </c>
      <c r="O243" s="20">
        <v>0.70952962314567403</v>
      </c>
    </row>
    <row r="244" spans="1:15" x14ac:dyDescent="0.2">
      <c r="A244" s="20" t="s">
        <v>835</v>
      </c>
      <c r="B244" s="20" t="s">
        <v>836</v>
      </c>
      <c r="C244" s="20" t="s">
        <v>362</v>
      </c>
      <c r="D244" s="20">
        <v>999</v>
      </c>
      <c r="E244" s="20">
        <v>11</v>
      </c>
      <c r="F244" s="20">
        <v>2.5404157043879909</v>
      </c>
      <c r="G244" s="20" t="s">
        <v>463</v>
      </c>
      <c r="H244" s="20"/>
      <c r="I244" s="20"/>
      <c r="J244" s="20">
        <v>-2.6197664336783242</v>
      </c>
      <c r="K244" s="20" t="s">
        <v>364</v>
      </c>
      <c r="L244" s="20" t="s">
        <v>363</v>
      </c>
      <c r="M244" s="20">
        <v>138.29</v>
      </c>
      <c r="N244" s="20" t="s">
        <v>365</v>
      </c>
      <c r="O244" s="20">
        <v>0.85907948369565224</v>
      </c>
    </row>
    <row r="245" spans="1:15" x14ac:dyDescent="0.2">
      <c r="A245" s="20" t="s">
        <v>837</v>
      </c>
      <c r="B245" s="20" t="s">
        <v>838</v>
      </c>
      <c r="C245" s="20" t="s">
        <v>362</v>
      </c>
      <c r="D245" s="20">
        <v>799</v>
      </c>
      <c r="E245" s="20">
        <v>166</v>
      </c>
      <c r="F245" s="20">
        <v>38.337182448036948</v>
      </c>
      <c r="G245" s="20" t="s">
        <v>463</v>
      </c>
      <c r="H245" s="20"/>
      <c r="I245" s="20"/>
      <c r="J245" s="20">
        <v>-2.6197664336783242</v>
      </c>
      <c r="K245" s="20" t="s">
        <v>364</v>
      </c>
      <c r="L245" s="20" t="s">
        <v>363</v>
      </c>
      <c r="M245" s="20">
        <v>75.760000000000005</v>
      </c>
      <c r="N245" s="20" t="s">
        <v>365</v>
      </c>
      <c r="O245" s="20">
        <v>0.90652683528685996</v>
      </c>
    </row>
    <row r="246" spans="1:15" x14ac:dyDescent="0.2">
      <c r="A246" s="20" t="s">
        <v>839</v>
      </c>
      <c r="B246" s="20" t="s">
        <v>840</v>
      </c>
      <c r="C246" s="20" t="s">
        <v>362</v>
      </c>
      <c r="D246" s="20">
        <v>699</v>
      </c>
      <c r="E246" s="20">
        <v>76</v>
      </c>
      <c r="F246" s="20">
        <v>17.551963048498841</v>
      </c>
      <c r="G246" s="20" t="s">
        <v>463</v>
      </c>
      <c r="H246" s="20"/>
      <c r="I246" s="20"/>
      <c r="J246" s="20">
        <v>-2.6197664336783242</v>
      </c>
      <c r="K246" s="20" t="s">
        <v>364</v>
      </c>
      <c r="L246" s="20" t="s">
        <v>363</v>
      </c>
      <c r="M246" s="20">
        <v>136.12095238095239</v>
      </c>
      <c r="N246" s="20" t="s">
        <v>365</v>
      </c>
      <c r="O246" s="20">
        <v>0.79238167493434497</v>
      </c>
    </row>
    <row r="247" spans="1:15" x14ac:dyDescent="0.2">
      <c r="A247" s="20" t="s">
        <v>841</v>
      </c>
      <c r="B247" s="20" t="s">
        <v>842</v>
      </c>
      <c r="C247" s="20" t="s">
        <v>362</v>
      </c>
      <c r="D247" s="20">
        <v>1399</v>
      </c>
      <c r="E247" s="20">
        <v>15</v>
      </c>
      <c r="F247" s="20">
        <v>3.464203233256351</v>
      </c>
      <c r="G247" s="20" t="s">
        <v>452</v>
      </c>
      <c r="H247" s="20"/>
      <c r="I247" s="20"/>
      <c r="J247" s="20">
        <v>-3.643622761666514</v>
      </c>
      <c r="K247" s="20" t="s">
        <v>364</v>
      </c>
      <c r="L247" s="20" t="s">
        <v>363</v>
      </c>
      <c r="M247" s="20">
        <v>256.53142857142859</v>
      </c>
      <c r="N247" s="20" t="s">
        <v>365</v>
      </c>
      <c r="O247" s="20">
        <v>0.64690366608474847</v>
      </c>
    </row>
    <row r="248" spans="1:15" x14ac:dyDescent="0.2">
      <c r="A248" s="20" t="s">
        <v>843</v>
      </c>
      <c r="B248" s="20" t="s">
        <v>844</v>
      </c>
      <c r="C248" s="20" t="s">
        <v>362</v>
      </c>
      <c r="D248" s="20">
        <v>1699</v>
      </c>
      <c r="E248" s="20">
        <v>11</v>
      </c>
      <c r="F248" s="20">
        <v>2.5404157043879909</v>
      </c>
      <c r="G248" s="20" t="s">
        <v>510</v>
      </c>
      <c r="H248" s="20"/>
      <c r="I248" s="20"/>
      <c r="J248" s="20">
        <v>-1.384113661892663</v>
      </c>
      <c r="K248" s="20" t="s">
        <v>414</v>
      </c>
      <c r="L248" s="20" t="s">
        <v>363</v>
      </c>
      <c r="M248" s="20">
        <v>491.65538461538472</v>
      </c>
      <c r="N248" s="20" t="s">
        <v>365</v>
      </c>
      <c r="O248" s="20">
        <v>0.57783318056828592</v>
      </c>
    </row>
    <row r="249" spans="1:15" x14ac:dyDescent="0.2">
      <c r="A249" s="20" t="s">
        <v>845</v>
      </c>
      <c r="B249" s="20" t="s">
        <v>846</v>
      </c>
      <c r="C249" s="20" t="s">
        <v>362</v>
      </c>
      <c r="D249" s="20"/>
      <c r="E249" s="20"/>
      <c r="F249" s="20"/>
      <c r="G249" s="20"/>
      <c r="H249" s="20"/>
      <c r="I249" s="20"/>
      <c r="J249" s="20">
        <v>-1.384113661892663</v>
      </c>
      <c r="K249" s="20" t="s">
        <v>414</v>
      </c>
      <c r="L249" s="20" t="s">
        <v>363</v>
      </c>
      <c r="M249" s="20">
        <v>614.84125000000006</v>
      </c>
      <c r="N249" s="20" t="s">
        <v>365</v>
      </c>
      <c r="O249" s="20">
        <v>0.58722003814565416</v>
      </c>
    </row>
    <row r="250" spans="1:15" x14ac:dyDescent="0.2">
      <c r="A250" s="20" t="s">
        <v>847</v>
      </c>
      <c r="B250" s="20" t="s">
        <v>848</v>
      </c>
      <c r="C250" s="20" t="s">
        <v>362</v>
      </c>
      <c r="D250" s="20">
        <v>899</v>
      </c>
      <c r="E250" s="20">
        <v>59</v>
      </c>
      <c r="F250" s="20">
        <v>13.625866050808311</v>
      </c>
      <c r="G250" s="20" t="s">
        <v>463</v>
      </c>
      <c r="H250" s="20"/>
      <c r="I250" s="20"/>
      <c r="J250" s="20">
        <v>-2.6197664336783242</v>
      </c>
      <c r="K250" s="20" t="s">
        <v>364</v>
      </c>
      <c r="L250" s="20" t="s">
        <v>363</v>
      </c>
      <c r="M250" s="20">
        <v>130.90285714285719</v>
      </c>
      <c r="N250" s="20" t="s">
        <v>365</v>
      </c>
      <c r="O250" s="20">
        <v>0.69288369665582727</v>
      </c>
    </row>
    <row r="251" spans="1:15" x14ac:dyDescent="0.2">
      <c r="A251" s="20" t="s">
        <v>849</v>
      </c>
      <c r="B251" s="20" t="s">
        <v>850</v>
      </c>
      <c r="C251" s="20" t="s">
        <v>362</v>
      </c>
      <c r="D251" s="20">
        <v>1999</v>
      </c>
      <c r="E251" s="20">
        <v>13</v>
      </c>
      <c r="F251" s="20">
        <v>3.0023094688221712</v>
      </c>
      <c r="G251" s="20" t="s">
        <v>510</v>
      </c>
      <c r="H251" s="20"/>
      <c r="I251" s="20"/>
      <c r="J251" s="20">
        <v>-1.384113661892663</v>
      </c>
      <c r="K251" s="20" t="s">
        <v>414</v>
      </c>
      <c r="L251" s="20" t="s">
        <v>363</v>
      </c>
      <c r="M251" s="20">
        <v>666.01700000000005</v>
      </c>
      <c r="N251" s="20" t="s">
        <v>365</v>
      </c>
      <c r="O251" s="20">
        <v>0.55318005808325255</v>
      </c>
    </row>
    <row r="252" spans="1:15" x14ac:dyDescent="0.2">
      <c r="A252" s="20" t="s">
        <v>851</v>
      </c>
      <c r="B252" s="20" t="s">
        <v>852</v>
      </c>
      <c r="C252" s="20" t="s">
        <v>362</v>
      </c>
      <c r="D252" s="20"/>
      <c r="E252" s="20"/>
      <c r="F252" s="20"/>
      <c r="G252" s="20"/>
      <c r="H252" s="20"/>
      <c r="I252" s="20"/>
      <c r="J252" s="20">
        <v>-1.384113661892663</v>
      </c>
      <c r="K252" s="20" t="s">
        <v>414</v>
      </c>
      <c r="L252" s="20" t="s">
        <v>363</v>
      </c>
      <c r="M252" s="20">
        <v>459.62</v>
      </c>
      <c r="N252" s="20" t="s">
        <v>365</v>
      </c>
      <c r="O252" s="20">
        <v>0.71005551349987395</v>
      </c>
    </row>
    <row r="253" spans="1:15" x14ac:dyDescent="0.2">
      <c r="A253" s="20" t="s">
        <v>853</v>
      </c>
      <c r="B253" s="20" t="s">
        <v>854</v>
      </c>
      <c r="C253" s="20" t="s">
        <v>362</v>
      </c>
      <c r="D253" s="20"/>
      <c r="E253" s="20"/>
      <c r="F253" s="20"/>
      <c r="G253" s="20"/>
      <c r="H253" s="20"/>
      <c r="I253" s="20"/>
      <c r="J253" s="20">
        <v>-1.384113661892663</v>
      </c>
      <c r="K253" s="20" t="s">
        <v>414</v>
      </c>
      <c r="L253" s="20" t="s">
        <v>363</v>
      </c>
      <c r="M253" s="20">
        <v>665.67</v>
      </c>
      <c r="N253" s="20" t="s">
        <v>365</v>
      </c>
      <c r="O253" s="20">
        <v>0.67496582031249996</v>
      </c>
    </row>
    <row r="254" spans="1:15" x14ac:dyDescent="0.2">
      <c r="A254" s="20" t="s">
        <v>855</v>
      </c>
      <c r="B254" s="20" t="s">
        <v>856</v>
      </c>
      <c r="C254" s="20" t="s">
        <v>362</v>
      </c>
      <c r="D254" s="20">
        <v>1299</v>
      </c>
      <c r="E254" s="20">
        <v>68</v>
      </c>
      <c r="F254" s="20">
        <v>15.704387990762131</v>
      </c>
      <c r="G254" s="20" t="s">
        <v>452</v>
      </c>
      <c r="H254" s="20"/>
      <c r="I254" s="20"/>
      <c r="J254" s="20">
        <v>-3.643622761666514</v>
      </c>
      <c r="K254" s="20" t="s">
        <v>364</v>
      </c>
      <c r="L254" s="20" t="s">
        <v>363</v>
      </c>
      <c r="M254" s="20">
        <v>416.55884615384622</v>
      </c>
      <c r="N254" s="20" t="s">
        <v>365</v>
      </c>
      <c r="O254" s="20">
        <v>0.69581332525436146</v>
      </c>
    </row>
    <row r="255" spans="1:15" x14ac:dyDescent="0.2">
      <c r="A255" s="20" t="s">
        <v>857</v>
      </c>
      <c r="B255" s="20" t="s">
        <v>858</v>
      </c>
      <c r="C255" s="20" t="s">
        <v>362</v>
      </c>
      <c r="D255" s="20">
        <v>1199</v>
      </c>
      <c r="E255" s="20">
        <v>85</v>
      </c>
      <c r="F255" s="20">
        <v>19.63048498845265</v>
      </c>
      <c r="G255" s="20" t="s">
        <v>452</v>
      </c>
      <c r="H255" s="20"/>
      <c r="I255" s="20"/>
      <c r="J255" s="20">
        <v>-3.643622761666514</v>
      </c>
      <c r="K255" s="20" t="s">
        <v>364</v>
      </c>
      <c r="L255" s="20" t="s">
        <v>363</v>
      </c>
      <c r="M255" s="20">
        <v>210.31</v>
      </c>
      <c r="N255" s="20" t="s">
        <v>365</v>
      </c>
      <c r="O255" s="20">
        <v>0.66606569709127383</v>
      </c>
    </row>
    <row r="256" spans="1:15" x14ac:dyDescent="0.2">
      <c r="A256" s="20" t="s">
        <v>92</v>
      </c>
      <c r="B256" s="20" t="s">
        <v>93</v>
      </c>
      <c r="C256" s="20" t="s">
        <v>362</v>
      </c>
      <c r="D256" s="20">
        <v>1299</v>
      </c>
      <c r="E256" s="20">
        <v>248</v>
      </c>
      <c r="F256" s="20">
        <v>57.274826789838343</v>
      </c>
      <c r="G256" s="20" t="s">
        <v>452</v>
      </c>
      <c r="H256" s="20"/>
      <c r="I256" s="20"/>
      <c r="J256" s="20">
        <v>-3.643622761666514</v>
      </c>
      <c r="K256" s="20" t="s">
        <v>364</v>
      </c>
      <c r="L256" s="20" t="s">
        <v>363</v>
      </c>
      <c r="M256" s="20">
        <v>248.7941304347826</v>
      </c>
      <c r="N256" s="20" t="s">
        <v>365</v>
      </c>
      <c r="O256" s="20">
        <v>0.72519385594857289</v>
      </c>
    </row>
    <row r="257" spans="1:15" x14ac:dyDescent="0.2">
      <c r="A257" s="20" t="s">
        <v>859</v>
      </c>
      <c r="B257" s="20" t="s">
        <v>860</v>
      </c>
      <c r="C257" s="20" t="s">
        <v>362</v>
      </c>
      <c r="D257" s="20">
        <v>999</v>
      </c>
      <c r="E257" s="20">
        <v>14</v>
      </c>
      <c r="F257" s="20">
        <v>3.2332563510392611</v>
      </c>
      <c r="G257" s="20" t="s">
        <v>463</v>
      </c>
      <c r="H257" s="20"/>
      <c r="I257" s="20"/>
      <c r="J257" s="20">
        <v>-2.6197664336783242</v>
      </c>
      <c r="K257" s="20" t="s">
        <v>364</v>
      </c>
      <c r="L257" s="20" t="s">
        <v>363</v>
      </c>
      <c r="M257" s="20">
        <v>82.13000000000001</v>
      </c>
      <c r="N257" s="20" t="s">
        <v>365</v>
      </c>
      <c r="O257" s="20">
        <v>0.71239222674813307</v>
      </c>
    </row>
    <row r="258" spans="1:15" x14ac:dyDescent="0.2">
      <c r="A258" s="20" t="s">
        <v>861</v>
      </c>
      <c r="B258" s="20" t="s">
        <v>862</v>
      </c>
      <c r="C258" s="20" t="s">
        <v>362</v>
      </c>
      <c r="D258" s="20">
        <v>599</v>
      </c>
      <c r="E258" s="20">
        <v>120</v>
      </c>
      <c r="F258" s="20">
        <v>27.713625866050808</v>
      </c>
      <c r="G258" s="20" t="s">
        <v>409</v>
      </c>
      <c r="H258" s="20"/>
      <c r="I258" s="20"/>
      <c r="J258" s="20">
        <v>-0.79078567053692428</v>
      </c>
      <c r="K258" s="20" t="s">
        <v>364</v>
      </c>
      <c r="L258" s="20" t="s">
        <v>363</v>
      </c>
      <c r="M258" s="20">
        <v>148.88749999999999</v>
      </c>
      <c r="N258" s="20" t="s">
        <v>365</v>
      </c>
      <c r="O258" s="20">
        <v>0.63178304787000439</v>
      </c>
    </row>
    <row r="259" spans="1:15" x14ac:dyDescent="0.2">
      <c r="A259" s="20" t="s">
        <v>863</v>
      </c>
      <c r="B259" s="20" t="s">
        <v>864</v>
      </c>
      <c r="C259" s="20" t="s">
        <v>362</v>
      </c>
      <c r="D259" s="20"/>
      <c r="E259" s="20"/>
      <c r="F259" s="20"/>
      <c r="G259" s="20"/>
      <c r="H259" s="20"/>
      <c r="I259" s="20"/>
      <c r="J259" s="20">
        <v>-1.384113661892663</v>
      </c>
      <c r="K259" s="20" t="s">
        <v>414</v>
      </c>
      <c r="L259" s="20" t="s">
        <v>363</v>
      </c>
      <c r="M259" s="20">
        <v>308.82</v>
      </c>
      <c r="N259" s="20" t="s">
        <v>365</v>
      </c>
      <c r="O259" s="20">
        <v>0.7551638477801268</v>
      </c>
    </row>
    <row r="260" spans="1:15" x14ac:dyDescent="0.2">
      <c r="A260" s="20" t="s">
        <v>865</v>
      </c>
      <c r="B260" s="20" t="s">
        <v>866</v>
      </c>
      <c r="C260" s="20" t="s">
        <v>362</v>
      </c>
      <c r="D260" s="20"/>
      <c r="E260" s="20"/>
      <c r="F260" s="20"/>
      <c r="G260" s="20"/>
      <c r="H260" s="20"/>
      <c r="I260" s="20"/>
      <c r="J260" s="20">
        <v>-1.384113661892663</v>
      </c>
      <c r="K260" s="20" t="s">
        <v>414</v>
      </c>
      <c r="L260" s="20" t="s">
        <v>363</v>
      </c>
      <c r="M260" s="20">
        <v>665.67</v>
      </c>
      <c r="N260" s="20" t="s">
        <v>365</v>
      </c>
      <c r="O260" s="20">
        <v>0.30944807552650688</v>
      </c>
    </row>
    <row r="261" spans="1:15" x14ac:dyDescent="0.2">
      <c r="A261" s="20" t="s">
        <v>867</v>
      </c>
      <c r="B261" s="20" t="s">
        <v>868</v>
      </c>
      <c r="C261" s="20" t="s">
        <v>362</v>
      </c>
      <c r="D261" s="20"/>
      <c r="E261" s="20"/>
      <c r="F261" s="20"/>
      <c r="G261" s="20"/>
      <c r="H261" s="20"/>
      <c r="I261" s="20"/>
      <c r="J261" s="20">
        <v>-1.384113661892663</v>
      </c>
      <c r="K261" s="20" t="s">
        <v>414</v>
      </c>
      <c r="L261" s="20" t="s">
        <v>363</v>
      </c>
      <c r="M261" s="20">
        <v>1898.52</v>
      </c>
      <c r="N261" s="20" t="s">
        <v>365</v>
      </c>
      <c r="O261" s="20">
        <v>0.25998051062171118</v>
      </c>
    </row>
    <row r="262" spans="1:15" x14ac:dyDescent="0.2">
      <c r="A262" s="20" t="s">
        <v>869</v>
      </c>
      <c r="B262" s="20" t="s">
        <v>870</v>
      </c>
      <c r="C262" s="20" t="s">
        <v>362</v>
      </c>
      <c r="D262" s="20"/>
      <c r="E262" s="20"/>
      <c r="F262" s="20"/>
      <c r="G262" s="20"/>
      <c r="H262" s="20"/>
      <c r="I262" s="20"/>
      <c r="J262" s="20">
        <v>-1.384113661892663</v>
      </c>
      <c r="K262" s="20" t="s">
        <v>414</v>
      </c>
      <c r="L262" s="20" t="s">
        <v>363</v>
      </c>
      <c r="M262" s="20">
        <v>398.97</v>
      </c>
      <c r="N262" s="20" t="s">
        <v>365</v>
      </c>
      <c r="O262" s="20">
        <v>0.74539246968730055</v>
      </c>
    </row>
    <row r="263" spans="1:15" x14ac:dyDescent="0.2">
      <c r="A263" s="20" t="s">
        <v>871</v>
      </c>
      <c r="B263" s="20" t="s">
        <v>872</v>
      </c>
      <c r="C263" s="20" t="s">
        <v>362</v>
      </c>
      <c r="D263" s="20">
        <v>2199</v>
      </c>
      <c r="E263" s="20">
        <v>72</v>
      </c>
      <c r="F263" s="20">
        <v>16.628175519630489</v>
      </c>
      <c r="G263" s="20" t="s">
        <v>510</v>
      </c>
      <c r="H263" s="20"/>
      <c r="I263" s="20"/>
      <c r="J263" s="20">
        <v>-1.384113661892663</v>
      </c>
      <c r="K263" s="20" t="s">
        <v>414</v>
      </c>
      <c r="L263" s="20" t="s">
        <v>363</v>
      </c>
      <c r="M263" s="20">
        <v>600.15458333333333</v>
      </c>
      <c r="N263" s="20" t="s">
        <v>365</v>
      </c>
      <c r="O263" s="20">
        <v>0.49144233498375861</v>
      </c>
    </row>
    <row r="264" spans="1:15" x14ac:dyDescent="0.2">
      <c r="A264" s="20" t="s">
        <v>873</v>
      </c>
      <c r="B264" s="20" t="s">
        <v>874</v>
      </c>
      <c r="C264" s="20" t="s">
        <v>362</v>
      </c>
      <c r="D264" s="20">
        <v>899</v>
      </c>
      <c r="E264" s="20">
        <v>15</v>
      </c>
      <c r="F264" s="20">
        <v>3.464203233256351</v>
      </c>
      <c r="G264" s="20" t="s">
        <v>463</v>
      </c>
      <c r="H264" s="20"/>
      <c r="I264" s="20"/>
      <c r="J264" s="20">
        <v>-2.6197664336783242</v>
      </c>
      <c r="K264" s="20" t="s">
        <v>364</v>
      </c>
      <c r="L264" s="20" t="s">
        <v>363</v>
      </c>
      <c r="M264" s="20">
        <v>73.984615384615395</v>
      </c>
      <c r="N264" s="20" t="s">
        <v>365</v>
      </c>
      <c r="O264" s="20">
        <v>0.80774763974224484</v>
      </c>
    </row>
    <row r="265" spans="1:15" x14ac:dyDescent="0.2">
      <c r="A265" s="20" t="s">
        <v>875</v>
      </c>
      <c r="B265" s="20" t="s">
        <v>876</v>
      </c>
      <c r="C265" s="20" t="s">
        <v>362</v>
      </c>
      <c r="D265" s="20"/>
      <c r="E265" s="20"/>
      <c r="F265" s="20"/>
      <c r="G265" s="20"/>
      <c r="H265" s="20"/>
      <c r="I265" s="20"/>
      <c r="J265" s="20">
        <v>-1.384113661892663</v>
      </c>
      <c r="K265" s="20" t="s">
        <v>414</v>
      </c>
      <c r="L265" s="20" t="s">
        <v>363</v>
      </c>
      <c r="M265" s="20">
        <v>134.91999999999999</v>
      </c>
      <c r="N265" s="20" t="s">
        <v>365</v>
      </c>
      <c r="O265" s="20">
        <v>0.82964646464646474</v>
      </c>
    </row>
    <row r="266" spans="1:15" x14ac:dyDescent="0.2">
      <c r="A266" s="20" t="s">
        <v>877</v>
      </c>
      <c r="B266" s="20" t="s">
        <v>878</v>
      </c>
      <c r="C266" s="20" t="s">
        <v>362</v>
      </c>
      <c r="D266" s="20"/>
      <c r="E266" s="20"/>
      <c r="F266" s="20"/>
      <c r="G266" s="20"/>
      <c r="H266" s="20"/>
      <c r="I266" s="20"/>
      <c r="J266" s="20">
        <v>-1.384113661892663</v>
      </c>
      <c r="K266" s="20" t="s">
        <v>414</v>
      </c>
      <c r="L266" s="20" t="s">
        <v>363</v>
      </c>
      <c r="M266" s="20">
        <v>260.23666666666668</v>
      </c>
      <c r="N266" s="20" t="s">
        <v>365</v>
      </c>
      <c r="O266" s="20">
        <v>0.67414207364847223</v>
      </c>
    </row>
    <row r="267" spans="1:15" x14ac:dyDescent="0.2">
      <c r="A267" s="20" t="s">
        <v>879</v>
      </c>
      <c r="B267" s="20" t="s">
        <v>880</v>
      </c>
      <c r="C267" s="20" t="s">
        <v>362</v>
      </c>
      <c r="D267" s="20">
        <v>1699</v>
      </c>
      <c r="E267" s="20">
        <v>83</v>
      </c>
      <c r="F267" s="20">
        <v>19.168591224018471</v>
      </c>
      <c r="G267" s="20" t="s">
        <v>510</v>
      </c>
      <c r="H267" s="20"/>
      <c r="I267" s="20"/>
      <c r="J267" s="20">
        <v>-1.384113661892663</v>
      </c>
      <c r="K267" s="20" t="s">
        <v>414</v>
      </c>
      <c r="L267" s="20" t="s">
        <v>363</v>
      </c>
      <c r="M267" s="20">
        <v>541.63111111111107</v>
      </c>
      <c r="N267" s="20" t="s">
        <v>365</v>
      </c>
      <c r="O267" s="20">
        <v>0.69963152381539218</v>
      </c>
    </row>
    <row r="268" spans="1:15" x14ac:dyDescent="0.2">
      <c r="A268" s="20" t="s">
        <v>881</v>
      </c>
      <c r="B268" s="20" t="s">
        <v>882</v>
      </c>
      <c r="C268" s="20" t="s">
        <v>362</v>
      </c>
      <c r="D268" s="20">
        <v>2799</v>
      </c>
      <c r="E268" s="20">
        <v>53</v>
      </c>
      <c r="F268" s="20">
        <v>12.240184757505769</v>
      </c>
      <c r="G268" s="20" t="s">
        <v>549</v>
      </c>
      <c r="H268" s="20"/>
      <c r="I268" s="20"/>
      <c r="J268" s="20">
        <v>-1.504740857521367</v>
      </c>
      <c r="K268" s="20" t="s">
        <v>364</v>
      </c>
      <c r="L268" s="20" t="s">
        <v>363</v>
      </c>
      <c r="M268" s="20">
        <v>689.49</v>
      </c>
      <c r="N268" s="20" t="s">
        <v>365</v>
      </c>
      <c r="O268" s="20">
        <v>0.50875814964296795</v>
      </c>
    </row>
    <row r="269" spans="1:15" x14ac:dyDescent="0.2">
      <c r="A269" s="20" t="s">
        <v>883</v>
      </c>
      <c r="B269" s="20" t="s">
        <v>884</v>
      </c>
      <c r="C269" s="20" t="s">
        <v>362</v>
      </c>
      <c r="D269" s="20">
        <v>2299</v>
      </c>
      <c r="E269" s="20">
        <v>31</v>
      </c>
      <c r="F269" s="20">
        <v>7.159353348729792</v>
      </c>
      <c r="G269" s="20" t="s">
        <v>510</v>
      </c>
      <c r="H269" s="20"/>
      <c r="I269" s="20"/>
      <c r="J269" s="20">
        <v>-1.384113661892663</v>
      </c>
      <c r="K269" s="20" t="s">
        <v>414</v>
      </c>
      <c r="L269" s="20" t="s">
        <v>363</v>
      </c>
      <c r="M269" s="20">
        <v>527.79999999999995</v>
      </c>
      <c r="N269" s="20" t="s">
        <v>365</v>
      </c>
      <c r="O269" s="20">
        <v>0.60220099044570063</v>
      </c>
    </row>
    <row r="270" spans="1:15" x14ac:dyDescent="0.2">
      <c r="A270" s="20" t="s">
        <v>885</v>
      </c>
      <c r="B270" s="20" t="s">
        <v>886</v>
      </c>
      <c r="C270" s="20" t="s">
        <v>362</v>
      </c>
      <c r="D270" s="20"/>
      <c r="E270" s="20"/>
      <c r="F270" s="20"/>
      <c r="G270" s="20"/>
      <c r="H270" s="20"/>
      <c r="I270" s="20"/>
      <c r="J270" s="20">
        <v>-1.384113661892663</v>
      </c>
      <c r="K270" s="20" t="s">
        <v>414</v>
      </c>
      <c r="L270" s="20" t="s">
        <v>363</v>
      </c>
      <c r="M270" s="20"/>
      <c r="N270" s="20" t="s">
        <v>373</v>
      </c>
      <c r="O270" s="20"/>
    </row>
    <row r="271" spans="1:15" x14ac:dyDescent="0.2">
      <c r="A271" s="20" t="s">
        <v>887</v>
      </c>
      <c r="B271" s="20" t="s">
        <v>888</v>
      </c>
      <c r="C271" s="20" t="s">
        <v>362</v>
      </c>
      <c r="D271" s="20">
        <v>1999</v>
      </c>
      <c r="E271" s="20">
        <v>38</v>
      </c>
      <c r="F271" s="20">
        <v>8.7759815242494223</v>
      </c>
      <c r="G271" s="20" t="s">
        <v>510</v>
      </c>
      <c r="H271" s="20"/>
      <c r="I271" s="20"/>
      <c r="J271" s="20">
        <v>-1.384113661892663</v>
      </c>
      <c r="K271" s="20" t="s">
        <v>414</v>
      </c>
      <c r="L271" s="20" t="s">
        <v>363</v>
      </c>
      <c r="M271" s="20">
        <v>351.7871428571429</v>
      </c>
      <c r="N271" s="20" t="s">
        <v>365</v>
      </c>
      <c r="O271" s="20">
        <v>0.74115854138772941</v>
      </c>
    </row>
    <row r="272" spans="1:15" x14ac:dyDescent="0.2">
      <c r="A272" s="20" t="s">
        <v>889</v>
      </c>
      <c r="B272" s="20" t="s">
        <v>890</v>
      </c>
      <c r="C272" s="20" t="s">
        <v>362</v>
      </c>
      <c r="D272" s="20"/>
      <c r="E272" s="20"/>
      <c r="F272" s="20"/>
      <c r="G272" s="20"/>
      <c r="H272" s="20"/>
      <c r="I272" s="20"/>
      <c r="J272" s="20">
        <v>-1.384113661892663</v>
      </c>
      <c r="K272" s="20" t="s">
        <v>414</v>
      </c>
      <c r="L272" s="20" t="s">
        <v>363</v>
      </c>
      <c r="M272" s="20">
        <v>361.53333333333342</v>
      </c>
      <c r="N272" s="20" t="s">
        <v>365</v>
      </c>
      <c r="O272" s="20">
        <v>0.705857891882119</v>
      </c>
    </row>
    <row r="273" spans="1:15" x14ac:dyDescent="0.2">
      <c r="A273" s="20" t="s">
        <v>891</v>
      </c>
      <c r="B273" s="20" t="s">
        <v>892</v>
      </c>
      <c r="C273" s="20" t="s">
        <v>362</v>
      </c>
      <c r="D273" s="20">
        <v>1799</v>
      </c>
      <c r="E273" s="20">
        <v>21276</v>
      </c>
      <c r="F273" s="20">
        <v>4913.6258660508083</v>
      </c>
      <c r="G273" s="20" t="s">
        <v>510</v>
      </c>
      <c r="H273" s="20"/>
      <c r="I273" s="20"/>
      <c r="J273" s="20">
        <v>-1.384113661892663</v>
      </c>
      <c r="K273" s="20" t="s">
        <v>414</v>
      </c>
      <c r="L273" s="20" t="s">
        <v>363</v>
      </c>
      <c r="M273" s="20">
        <v>614.85899709302328</v>
      </c>
      <c r="N273" s="20" t="s">
        <v>365</v>
      </c>
      <c r="O273" s="20">
        <v>0.55752710890497081</v>
      </c>
    </row>
    <row r="274" spans="1:15" x14ac:dyDescent="0.2">
      <c r="A274" s="20" t="s">
        <v>87</v>
      </c>
      <c r="B274" s="20" t="s">
        <v>88</v>
      </c>
      <c r="C274" s="20" t="s">
        <v>362</v>
      </c>
      <c r="D274" s="20">
        <v>3199</v>
      </c>
      <c r="E274" s="20">
        <v>1158</v>
      </c>
      <c r="F274" s="20">
        <v>267.43648960739029</v>
      </c>
      <c r="G274" s="20" t="s">
        <v>549</v>
      </c>
      <c r="H274" s="20"/>
      <c r="I274" s="20"/>
      <c r="J274" s="20">
        <v>-1.504740857521367</v>
      </c>
      <c r="K274" s="20" t="s">
        <v>364</v>
      </c>
      <c r="L274" s="20" t="s">
        <v>363</v>
      </c>
      <c r="M274" s="20">
        <v>2151.6774722222221</v>
      </c>
      <c r="N274" s="20" t="s">
        <v>365</v>
      </c>
      <c r="O274" s="20">
        <v>0.23478416658245321</v>
      </c>
    </row>
    <row r="275" spans="1:15" x14ac:dyDescent="0.2">
      <c r="A275" s="20" t="s">
        <v>893</v>
      </c>
      <c r="B275" s="20" t="s">
        <v>894</v>
      </c>
      <c r="C275" s="20" t="s">
        <v>362</v>
      </c>
      <c r="D275" s="20">
        <v>1999</v>
      </c>
      <c r="E275" s="20">
        <v>378</v>
      </c>
      <c r="F275" s="20">
        <v>87.297921478060047</v>
      </c>
      <c r="G275" s="20" t="s">
        <v>510</v>
      </c>
      <c r="H275" s="20"/>
      <c r="I275" s="20"/>
      <c r="J275" s="20">
        <v>-1.384113661892663</v>
      </c>
      <c r="K275" s="20" t="s">
        <v>414</v>
      </c>
      <c r="L275" s="20" t="s">
        <v>363</v>
      </c>
      <c r="M275" s="20">
        <v>638.69095238095247</v>
      </c>
      <c r="N275" s="20" t="s">
        <v>365</v>
      </c>
      <c r="O275" s="20">
        <v>0.52978061016949141</v>
      </c>
    </row>
    <row r="276" spans="1:15" x14ac:dyDescent="0.2">
      <c r="A276" s="20" t="s">
        <v>895</v>
      </c>
      <c r="B276" s="20" t="s">
        <v>896</v>
      </c>
      <c r="C276" s="20" t="s">
        <v>362</v>
      </c>
      <c r="D276" s="20"/>
      <c r="E276" s="20"/>
      <c r="F276" s="20"/>
      <c r="G276" s="20"/>
      <c r="H276" s="20"/>
      <c r="I276" s="20"/>
      <c r="J276" s="20">
        <v>-1.384113661892663</v>
      </c>
      <c r="K276" s="20" t="s">
        <v>414</v>
      </c>
      <c r="L276" s="20" t="s">
        <v>363</v>
      </c>
      <c r="M276" s="20">
        <v>767.03000000000009</v>
      </c>
      <c r="N276" s="20" t="s">
        <v>365</v>
      </c>
      <c r="O276" s="20">
        <v>0.60520516808230651</v>
      </c>
    </row>
    <row r="277" spans="1:15" x14ac:dyDescent="0.2">
      <c r="A277" s="20" t="s">
        <v>897</v>
      </c>
      <c r="B277" s="20" t="s">
        <v>898</v>
      </c>
      <c r="C277" s="20" t="s">
        <v>362</v>
      </c>
      <c r="D277" s="20">
        <v>2399</v>
      </c>
      <c r="E277" s="20">
        <v>13</v>
      </c>
      <c r="F277" s="20">
        <v>3.0023094688221712</v>
      </c>
      <c r="G277" s="20" t="s">
        <v>510</v>
      </c>
      <c r="H277" s="20"/>
      <c r="I277" s="20"/>
      <c r="J277" s="20">
        <v>-1.384113661892663</v>
      </c>
      <c r="K277" s="20" t="s">
        <v>414</v>
      </c>
      <c r="L277" s="20" t="s">
        <v>363</v>
      </c>
      <c r="M277" s="20">
        <v>445.24</v>
      </c>
      <c r="N277" s="20" t="s">
        <v>365</v>
      </c>
      <c r="O277" s="20">
        <v>0.69397431602456727</v>
      </c>
    </row>
    <row r="278" spans="1:15" x14ac:dyDescent="0.2">
      <c r="A278" s="20" t="s">
        <v>899</v>
      </c>
      <c r="B278" s="20" t="s">
        <v>900</v>
      </c>
      <c r="C278" s="20" t="s">
        <v>362</v>
      </c>
      <c r="D278" s="20">
        <v>1599</v>
      </c>
      <c r="E278" s="20">
        <v>11</v>
      </c>
      <c r="F278" s="20">
        <v>2.5404157043879909</v>
      </c>
      <c r="G278" s="20" t="s">
        <v>510</v>
      </c>
      <c r="H278" s="20"/>
      <c r="I278" s="20"/>
      <c r="J278" s="20">
        <v>-1.384113661892663</v>
      </c>
      <c r="K278" s="20" t="s">
        <v>414</v>
      </c>
      <c r="L278" s="20" t="s">
        <v>363</v>
      </c>
      <c r="M278" s="20">
        <v>526.17000000000007</v>
      </c>
      <c r="N278" s="20" t="s">
        <v>365</v>
      </c>
      <c r="O278" s="20">
        <v>0.59838488286969249</v>
      </c>
    </row>
    <row r="279" spans="1:15" x14ac:dyDescent="0.2">
      <c r="A279" s="20" t="s">
        <v>901</v>
      </c>
      <c r="B279" s="20" t="s">
        <v>902</v>
      </c>
      <c r="C279" s="20" t="s">
        <v>362</v>
      </c>
      <c r="D279" s="20">
        <v>2199</v>
      </c>
      <c r="E279" s="20">
        <v>53</v>
      </c>
      <c r="F279" s="20">
        <v>12.240184757505769</v>
      </c>
      <c r="G279" s="20" t="s">
        <v>510</v>
      </c>
      <c r="H279" s="20"/>
      <c r="I279" s="20"/>
      <c r="J279" s="20">
        <v>-1.384113661892663</v>
      </c>
      <c r="K279" s="20" t="s">
        <v>414</v>
      </c>
      <c r="L279" s="20" t="s">
        <v>363</v>
      </c>
      <c r="M279" s="20">
        <v>496.17</v>
      </c>
      <c r="N279" s="20" t="s">
        <v>365</v>
      </c>
      <c r="O279" s="20">
        <v>0.61939760344640338</v>
      </c>
    </row>
    <row r="280" spans="1:15" x14ac:dyDescent="0.2">
      <c r="A280" s="20" t="s">
        <v>903</v>
      </c>
      <c r="B280" s="20" t="s">
        <v>904</v>
      </c>
      <c r="C280" s="20" t="s">
        <v>362</v>
      </c>
      <c r="D280" s="20"/>
      <c r="E280" s="20"/>
      <c r="F280" s="20"/>
      <c r="G280" s="20"/>
      <c r="H280" s="20"/>
      <c r="I280" s="20"/>
      <c r="J280" s="20">
        <v>-1.384113661892663</v>
      </c>
      <c r="K280" s="20" t="s">
        <v>414</v>
      </c>
      <c r="L280" s="20" t="s">
        <v>363</v>
      </c>
      <c r="M280" s="20"/>
      <c r="N280" s="20" t="s">
        <v>373</v>
      </c>
      <c r="O280" s="20"/>
    </row>
    <row r="281" spans="1:15" x14ac:dyDescent="0.2">
      <c r="A281" s="20" t="s">
        <v>905</v>
      </c>
      <c r="B281" s="20" t="s">
        <v>906</v>
      </c>
      <c r="C281" s="20" t="s">
        <v>362</v>
      </c>
      <c r="D281" s="20">
        <v>2599</v>
      </c>
      <c r="E281" s="20">
        <v>37</v>
      </c>
      <c r="F281" s="20">
        <v>8.5450346420323324</v>
      </c>
      <c r="G281" s="20" t="s">
        <v>549</v>
      </c>
      <c r="H281" s="20"/>
      <c r="I281" s="20"/>
      <c r="J281" s="20">
        <v>-1.504740857521367</v>
      </c>
      <c r="K281" s="20" t="s">
        <v>364</v>
      </c>
      <c r="L281" s="20" t="s">
        <v>363</v>
      </c>
      <c r="M281" s="20">
        <v>720.51285714285711</v>
      </c>
      <c r="N281" s="20" t="s">
        <v>365</v>
      </c>
      <c r="O281" s="20">
        <v>0.63951663543213177</v>
      </c>
    </row>
    <row r="282" spans="1:15" x14ac:dyDescent="0.2">
      <c r="A282" s="20" t="s">
        <v>907</v>
      </c>
      <c r="B282" s="20" t="s">
        <v>908</v>
      </c>
      <c r="C282" s="20" t="s">
        <v>362</v>
      </c>
      <c r="D282" s="20"/>
      <c r="E282" s="20"/>
      <c r="F282" s="20"/>
      <c r="G282" s="20"/>
      <c r="H282" s="20"/>
      <c r="I282" s="20"/>
      <c r="J282" s="20">
        <v>-1.384113661892663</v>
      </c>
      <c r="K282" s="20" t="s">
        <v>414</v>
      </c>
      <c r="L282" s="20" t="s">
        <v>363</v>
      </c>
      <c r="M282" s="20">
        <v>42.29</v>
      </c>
      <c r="N282" s="20" t="s">
        <v>365</v>
      </c>
      <c r="O282" s="20">
        <v>0.90072769953051635</v>
      </c>
    </row>
    <row r="283" spans="1:15" x14ac:dyDescent="0.2">
      <c r="A283" s="20" t="s">
        <v>909</v>
      </c>
      <c r="B283" s="20" t="s">
        <v>910</v>
      </c>
      <c r="C283" s="20" t="s">
        <v>362</v>
      </c>
      <c r="D283" s="20"/>
      <c r="E283" s="20"/>
      <c r="F283" s="20"/>
      <c r="G283" s="20"/>
      <c r="H283" s="20"/>
      <c r="I283" s="20"/>
      <c r="J283" s="20">
        <v>-1.384113661892663</v>
      </c>
      <c r="K283" s="20" t="s">
        <v>414</v>
      </c>
      <c r="L283" s="20" t="s">
        <v>363</v>
      </c>
      <c r="M283" s="20">
        <v>442.41185714285712</v>
      </c>
      <c r="N283" s="20" t="s">
        <v>365</v>
      </c>
      <c r="O283" s="20">
        <v>0.76385809600061016</v>
      </c>
    </row>
    <row r="284" spans="1:15" x14ac:dyDescent="0.2">
      <c r="A284" s="20" t="s">
        <v>911</v>
      </c>
      <c r="B284" s="20" t="s">
        <v>912</v>
      </c>
      <c r="C284" s="20" t="s">
        <v>362</v>
      </c>
      <c r="D284" s="20">
        <v>1699</v>
      </c>
      <c r="E284" s="20">
        <v>12</v>
      </c>
      <c r="F284" s="20">
        <v>2.7713625866050808</v>
      </c>
      <c r="G284" s="20" t="s">
        <v>510</v>
      </c>
      <c r="H284" s="20"/>
      <c r="I284" s="20"/>
      <c r="J284" s="20">
        <v>-1.384113661892663</v>
      </c>
      <c r="K284" s="20" t="s">
        <v>414</v>
      </c>
      <c r="L284" s="20" t="s">
        <v>363</v>
      </c>
      <c r="M284" s="20">
        <v>641.97571428571428</v>
      </c>
      <c r="N284" s="20" t="s">
        <v>365</v>
      </c>
      <c r="O284" s="20">
        <v>0.66481464906392185</v>
      </c>
    </row>
    <row r="285" spans="1:15" x14ac:dyDescent="0.2">
      <c r="A285" s="20" t="s">
        <v>913</v>
      </c>
      <c r="B285" s="20" t="s">
        <v>914</v>
      </c>
      <c r="C285" s="20" t="s">
        <v>362</v>
      </c>
      <c r="D285" s="20">
        <v>1799</v>
      </c>
      <c r="E285" s="20">
        <v>65</v>
      </c>
      <c r="F285" s="20">
        <v>15.01154734411085</v>
      </c>
      <c r="G285" s="20" t="s">
        <v>510</v>
      </c>
      <c r="H285" s="20"/>
      <c r="I285" s="20"/>
      <c r="J285" s="20">
        <v>-1.384113661892663</v>
      </c>
      <c r="K285" s="20" t="s">
        <v>414</v>
      </c>
      <c r="L285" s="20" t="s">
        <v>363</v>
      </c>
      <c r="M285" s="20">
        <v>858.75999999999988</v>
      </c>
      <c r="N285" s="20" t="s">
        <v>365</v>
      </c>
      <c r="O285" s="20">
        <v>0.59007982179320584</v>
      </c>
    </row>
    <row r="286" spans="1:15" x14ac:dyDescent="0.2">
      <c r="A286" s="20" t="s">
        <v>915</v>
      </c>
      <c r="B286" s="20" t="s">
        <v>916</v>
      </c>
      <c r="C286" s="20" t="s">
        <v>362</v>
      </c>
      <c r="D286" s="20"/>
      <c r="E286" s="20"/>
      <c r="F286" s="20"/>
      <c r="G286" s="20"/>
      <c r="H286" s="20"/>
      <c r="I286" s="20"/>
      <c r="J286" s="20">
        <v>-1.384113661892663</v>
      </c>
      <c r="K286" s="20" t="s">
        <v>414</v>
      </c>
      <c r="L286" s="20" t="s">
        <v>363</v>
      </c>
      <c r="M286" s="20">
        <v>439.8</v>
      </c>
      <c r="N286" s="20" t="s">
        <v>365</v>
      </c>
      <c r="O286" s="20">
        <v>0.52272320095550917</v>
      </c>
    </row>
    <row r="287" spans="1:15" x14ac:dyDescent="0.2">
      <c r="A287" s="20" t="s">
        <v>53</v>
      </c>
      <c r="B287" s="20" t="s">
        <v>54</v>
      </c>
      <c r="C287" s="20" t="s">
        <v>362</v>
      </c>
      <c r="D287" s="20">
        <v>1499</v>
      </c>
      <c r="E287" s="20">
        <v>1497</v>
      </c>
      <c r="F287" s="20">
        <v>345.72748267898379</v>
      </c>
      <c r="G287" s="20" t="s">
        <v>452</v>
      </c>
      <c r="H287" s="20"/>
      <c r="I287" s="20"/>
      <c r="J287" s="20">
        <v>-3.643622761666514</v>
      </c>
      <c r="K287" s="20" t="s">
        <v>364</v>
      </c>
      <c r="L287" s="20" t="s">
        <v>363</v>
      </c>
      <c r="M287" s="20">
        <v>473.97386904761902</v>
      </c>
      <c r="N287" s="20" t="s">
        <v>365</v>
      </c>
      <c r="O287" s="20">
        <v>0.56261471143687469</v>
      </c>
    </row>
    <row r="288" spans="1:15" x14ac:dyDescent="0.2">
      <c r="A288" s="20" t="s">
        <v>917</v>
      </c>
      <c r="B288" s="20" t="s">
        <v>918</v>
      </c>
      <c r="C288" s="20" t="s">
        <v>362</v>
      </c>
      <c r="D288" s="20">
        <v>1799</v>
      </c>
      <c r="E288" s="20">
        <v>313</v>
      </c>
      <c r="F288" s="20">
        <v>72.286374133949195</v>
      </c>
      <c r="G288" s="20" t="s">
        <v>510</v>
      </c>
      <c r="H288" s="20"/>
      <c r="I288" s="20"/>
      <c r="J288" s="20">
        <v>-1.384113661892663</v>
      </c>
      <c r="K288" s="20" t="s">
        <v>414</v>
      </c>
      <c r="L288" s="20" t="s">
        <v>363</v>
      </c>
      <c r="M288" s="20">
        <v>609.66499999999996</v>
      </c>
      <c r="N288" s="20" t="s">
        <v>365</v>
      </c>
      <c r="O288" s="20">
        <v>0.58120927310798676</v>
      </c>
    </row>
    <row r="289" spans="1:15" x14ac:dyDescent="0.2">
      <c r="A289" s="20" t="s">
        <v>919</v>
      </c>
      <c r="B289" s="20" t="s">
        <v>920</v>
      </c>
      <c r="C289" s="20" t="s">
        <v>362</v>
      </c>
      <c r="D289" s="20">
        <v>2499</v>
      </c>
      <c r="E289" s="20">
        <v>149</v>
      </c>
      <c r="F289" s="20">
        <v>34.41108545034642</v>
      </c>
      <c r="G289" s="20" t="s">
        <v>510</v>
      </c>
      <c r="H289" s="20"/>
      <c r="I289" s="20"/>
      <c r="J289" s="20">
        <v>-1.384113661892663</v>
      </c>
      <c r="K289" s="20" t="s">
        <v>414</v>
      </c>
      <c r="L289" s="20" t="s">
        <v>363</v>
      </c>
      <c r="M289" s="20">
        <v>1088.7574999999999</v>
      </c>
      <c r="N289" s="20" t="s">
        <v>365</v>
      </c>
      <c r="O289" s="20">
        <v>0.50092778574844576</v>
      </c>
    </row>
    <row r="290" spans="1:15" x14ac:dyDescent="0.2">
      <c r="A290" s="20" t="s">
        <v>921</v>
      </c>
      <c r="B290" s="20" t="s">
        <v>922</v>
      </c>
      <c r="C290" s="20" t="s">
        <v>362</v>
      </c>
      <c r="D290" s="20">
        <v>5499</v>
      </c>
      <c r="E290" s="20">
        <v>37</v>
      </c>
      <c r="F290" s="20">
        <v>8.5450346420323324</v>
      </c>
      <c r="G290" s="20" t="s">
        <v>549</v>
      </c>
      <c r="H290" s="20"/>
      <c r="I290" s="20"/>
      <c r="J290" s="20">
        <v>-1.504740857521367</v>
      </c>
      <c r="K290" s="20" t="s">
        <v>364</v>
      </c>
      <c r="L290" s="20" t="s">
        <v>363</v>
      </c>
      <c r="M290" s="20">
        <v>2513.6155555555561</v>
      </c>
      <c r="N290" s="20" t="s">
        <v>365</v>
      </c>
      <c r="O290" s="20">
        <v>0.53120917791682121</v>
      </c>
    </row>
    <row r="291" spans="1:15" x14ac:dyDescent="0.2">
      <c r="A291" s="20" t="s">
        <v>923</v>
      </c>
      <c r="B291" s="20" t="s">
        <v>924</v>
      </c>
      <c r="C291" s="20" t="s">
        <v>362</v>
      </c>
      <c r="D291" s="20">
        <v>5499</v>
      </c>
      <c r="E291" s="20">
        <v>18</v>
      </c>
      <c r="F291" s="20">
        <v>4.1570438799076213</v>
      </c>
      <c r="G291" s="20" t="s">
        <v>549</v>
      </c>
      <c r="H291" s="20"/>
      <c r="I291" s="20"/>
      <c r="J291" s="20">
        <v>-1.504740857521367</v>
      </c>
      <c r="K291" s="20" t="s">
        <v>364</v>
      </c>
      <c r="L291" s="20" t="s">
        <v>363</v>
      </c>
      <c r="M291" s="20">
        <v>2280.1633333333339</v>
      </c>
      <c r="N291" s="20" t="s">
        <v>365</v>
      </c>
      <c r="O291" s="20">
        <v>0.53680811163611619</v>
      </c>
    </row>
    <row r="292" spans="1:15" x14ac:dyDescent="0.2">
      <c r="A292" s="20" t="s">
        <v>925</v>
      </c>
      <c r="B292" s="20" t="s">
        <v>926</v>
      </c>
      <c r="C292" s="20" t="s">
        <v>362</v>
      </c>
      <c r="D292" s="20">
        <v>699</v>
      </c>
      <c r="E292" s="20">
        <v>22</v>
      </c>
      <c r="F292" s="20">
        <v>5.0808314087759818</v>
      </c>
      <c r="G292" s="20" t="s">
        <v>463</v>
      </c>
      <c r="H292" s="20"/>
      <c r="I292" s="20"/>
      <c r="J292" s="20">
        <v>-2.6197664336783242</v>
      </c>
      <c r="K292" s="20" t="s">
        <v>364</v>
      </c>
      <c r="L292" s="20" t="s">
        <v>363</v>
      </c>
      <c r="M292" s="20">
        <v>96.91</v>
      </c>
      <c r="N292" s="20" t="s">
        <v>365</v>
      </c>
      <c r="O292" s="20">
        <v>0.75345274745778523</v>
      </c>
    </row>
    <row r="293" spans="1:15" x14ac:dyDescent="0.2">
      <c r="A293" s="20" t="s">
        <v>927</v>
      </c>
      <c r="B293" s="20" t="s">
        <v>928</v>
      </c>
      <c r="C293" s="20" t="s">
        <v>362</v>
      </c>
      <c r="D293" s="20">
        <v>749</v>
      </c>
      <c r="E293" s="20">
        <v>15</v>
      </c>
      <c r="F293" s="20">
        <v>3.464203233256351</v>
      </c>
      <c r="G293" s="20" t="s">
        <v>463</v>
      </c>
      <c r="H293" s="20"/>
      <c r="I293" s="20"/>
      <c r="J293" s="20">
        <v>-2.6197664336783242</v>
      </c>
      <c r="K293" s="20" t="s">
        <v>364</v>
      </c>
      <c r="L293" s="20" t="s">
        <v>363</v>
      </c>
      <c r="M293" s="20">
        <v>119</v>
      </c>
      <c r="N293" s="20" t="s">
        <v>365</v>
      </c>
      <c r="O293" s="20">
        <v>0.83500866551126518</v>
      </c>
    </row>
    <row r="294" spans="1:15" x14ac:dyDescent="0.2">
      <c r="A294" s="20" t="s">
        <v>929</v>
      </c>
      <c r="B294" s="20" t="s">
        <v>930</v>
      </c>
      <c r="C294" s="20" t="s">
        <v>362</v>
      </c>
      <c r="D294" s="20">
        <v>1799</v>
      </c>
      <c r="E294" s="20">
        <v>1110</v>
      </c>
      <c r="F294" s="20">
        <v>256.35103926097003</v>
      </c>
      <c r="G294" s="20" t="s">
        <v>510</v>
      </c>
      <c r="H294" s="20"/>
      <c r="I294" s="20"/>
      <c r="J294" s="20">
        <v>-1.384113661892663</v>
      </c>
      <c r="K294" s="20" t="s">
        <v>414</v>
      </c>
      <c r="L294" s="20" t="s">
        <v>363</v>
      </c>
      <c r="M294" s="20">
        <v>582.82058510638296</v>
      </c>
      <c r="N294" s="20" t="s">
        <v>365</v>
      </c>
      <c r="O294" s="20">
        <v>0.55603606524111537</v>
      </c>
    </row>
    <row r="295" spans="1:15" x14ac:dyDescent="0.2">
      <c r="A295" s="20" t="s">
        <v>931</v>
      </c>
      <c r="B295" s="20" t="s">
        <v>932</v>
      </c>
      <c r="C295" s="20" t="s">
        <v>362</v>
      </c>
      <c r="D295" s="20"/>
      <c r="E295" s="20"/>
      <c r="F295" s="20"/>
      <c r="G295" s="20"/>
      <c r="H295" s="20"/>
      <c r="I295" s="20"/>
      <c r="J295" s="20">
        <v>-1.384113661892663</v>
      </c>
      <c r="K295" s="20" t="s">
        <v>414</v>
      </c>
      <c r="L295" s="20" t="s">
        <v>363</v>
      </c>
      <c r="M295" s="20">
        <v>150.91</v>
      </c>
      <c r="N295" s="20" t="s">
        <v>365</v>
      </c>
      <c r="O295" s="20">
        <v>0.57940823327615787</v>
      </c>
    </row>
    <row r="296" spans="1:15" x14ac:dyDescent="0.2">
      <c r="A296" s="20" t="s">
        <v>933</v>
      </c>
      <c r="B296" s="20" t="s">
        <v>934</v>
      </c>
      <c r="C296" s="20" t="s">
        <v>362</v>
      </c>
      <c r="D296" s="20"/>
      <c r="E296" s="20"/>
      <c r="F296" s="20"/>
      <c r="G296" s="20"/>
      <c r="H296" s="20"/>
      <c r="I296" s="20"/>
      <c r="J296" s="20">
        <v>-1.384113661892663</v>
      </c>
      <c r="K296" s="20" t="s">
        <v>414</v>
      </c>
      <c r="L296" s="20" t="s">
        <v>363</v>
      </c>
      <c r="M296" s="20">
        <v>244.69</v>
      </c>
      <c r="N296" s="20" t="s">
        <v>365</v>
      </c>
      <c r="O296" s="20">
        <v>0.83291908501194944</v>
      </c>
    </row>
    <row r="297" spans="1:15" x14ac:dyDescent="0.2">
      <c r="A297" s="20" t="s">
        <v>935</v>
      </c>
      <c r="B297" s="20" t="s">
        <v>936</v>
      </c>
      <c r="C297" s="20" t="s">
        <v>362</v>
      </c>
      <c r="D297" s="20">
        <v>2199</v>
      </c>
      <c r="E297" s="20">
        <v>68</v>
      </c>
      <c r="F297" s="20">
        <v>15.704387990762131</v>
      </c>
      <c r="G297" s="20" t="s">
        <v>510</v>
      </c>
      <c r="H297" s="20"/>
      <c r="I297" s="20"/>
      <c r="J297" s="20">
        <v>-1.384113661892663</v>
      </c>
      <c r="K297" s="20" t="s">
        <v>414</v>
      </c>
      <c r="L297" s="20" t="s">
        <v>363</v>
      </c>
      <c r="M297" s="20">
        <v>689.57066666666674</v>
      </c>
      <c r="N297" s="20" t="s">
        <v>365</v>
      </c>
      <c r="O297" s="20">
        <v>0.52364500513422318</v>
      </c>
    </row>
    <row r="298" spans="1:15" x14ac:dyDescent="0.2">
      <c r="A298" s="20" t="s">
        <v>937</v>
      </c>
      <c r="B298" s="20" t="s">
        <v>938</v>
      </c>
      <c r="C298" s="20" t="s">
        <v>362</v>
      </c>
      <c r="D298" s="20"/>
      <c r="E298" s="20"/>
      <c r="F298" s="20"/>
      <c r="G298" s="20"/>
      <c r="H298" s="20"/>
      <c r="I298" s="20"/>
      <c r="J298" s="20">
        <v>-1.384113661892663</v>
      </c>
      <c r="K298" s="20" t="s">
        <v>414</v>
      </c>
      <c r="L298" s="20" t="s">
        <v>363</v>
      </c>
      <c r="M298" s="20">
        <v>289.66399999999999</v>
      </c>
      <c r="N298" s="20" t="s">
        <v>365</v>
      </c>
      <c r="O298" s="20">
        <v>0.73618943533697634</v>
      </c>
    </row>
    <row r="299" spans="1:15" x14ac:dyDescent="0.2">
      <c r="A299" s="20" t="s">
        <v>69</v>
      </c>
      <c r="B299" s="20" t="s">
        <v>70</v>
      </c>
      <c r="C299" s="20" t="s">
        <v>362</v>
      </c>
      <c r="D299" s="20">
        <v>899</v>
      </c>
      <c r="E299" s="20">
        <v>1800</v>
      </c>
      <c r="F299" s="20">
        <v>415.70438799076209</v>
      </c>
      <c r="G299" s="20" t="s">
        <v>463</v>
      </c>
      <c r="H299" s="20"/>
      <c r="I299" s="20"/>
      <c r="J299" s="20">
        <v>-2.6197664336783242</v>
      </c>
      <c r="K299" s="20" t="s">
        <v>364</v>
      </c>
      <c r="L299" s="20" t="s">
        <v>363</v>
      </c>
      <c r="M299" s="20">
        <v>184.0253459119497</v>
      </c>
      <c r="N299" s="20" t="s">
        <v>365</v>
      </c>
      <c r="O299" s="20">
        <v>0.7476689057297049</v>
      </c>
    </row>
    <row r="300" spans="1:15" x14ac:dyDescent="0.2">
      <c r="A300" s="20" t="s">
        <v>939</v>
      </c>
      <c r="B300" s="20" t="s">
        <v>940</v>
      </c>
      <c r="C300" s="20" t="s">
        <v>362</v>
      </c>
      <c r="D300" s="20"/>
      <c r="E300" s="20"/>
      <c r="F300" s="20"/>
      <c r="G300" s="20"/>
      <c r="H300" s="20"/>
      <c r="I300" s="20"/>
      <c r="J300" s="20">
        <v>-1.384113661892663</v>
      </c>
      <c r="K300" s="20" t="s">
        <v>414</v>
      </c>
      <c r="L300" s="20" t="s">
        <v>363</v>
      </c>
      <c r="M300" s="20">
        <v>600.18333333333339</v>
      </c>
      <c r="N300" s="20" t="s">
        <v>365</v>
      </c>
      <c r="O300" s="20">
        <v>0.44123605902693219</v>
      </c>
    </row>
    <row r="301" spans="1:15" x14ac:dyDescent="0.2">
      <c r="A301" s="20" t="s">
        <v>941</v>
      </c>
      <c r="B301" s="20" t="s">
        <v>942</v>
      </c>
      <c r="C301" s="20" t="s">
        <v>362</v>
      </c>
      <c r="D301" s="20">
        <v>1599</v>
      </c>
      <c r="E301" s="20">
        <v>51</v>
      </c>
      <c r="F301" s="20">
        <v>11.77829099307159</v>
      </c>
      <c r="G301" s="20" t="s">
        <v>510</v>
      </c>
      <c r="H301" s="20"/>
      <c r="I301" s="20"/>
      <c r="J301" s="20">
        <v>-1.384113661892663</v>
      </c>
      <c r="K301" s="20" t="s">
        <v>414</v>
      </c>
      <c r="L301" s="20" t="s">
        <v>363</v>
      </c>
      <c r="M301" s="20">
        <v>398.07</v>
      </c>
      <c r="N301" s="20" t="s">
        <v>365</v>
      </c>
      <c r="O301" s="20">
        <v>0.50032633238188562</v>
      </c>
    </row>
    <row r="302" spans="1:15" x14ac:dyDescent="0.2">
      <c r="A302" s="20" t="s">
        <v>943</v>
      </c>
      <c r="B302" s="20" t="s">
        <v>944</v>
      </c>
      <c r="C302" s="20" t="s">
        <v>362</v>
      </c>
      <c r="D302" s="20"/>
      <c r="E302" s="20"/>
      <c r="F302" s="20"/>
      <c r="G302" s="20"/>
      <c r="H302" s="20"/>
      <c r="I302" s="20"/>
      <c r="J302" s="20">
        <v>-1.384113661892663</v>
      </c>
      <c r="K302" s="20" t="s">
        <v>414</v>
      </c>
      <c r="L302" s="20" t="s">
        <v>363</v>
      </c>
      <c r="M302" s="20"/>
      <c r="N302" s="20" t="s">
        <v>373</v>
      </c>
      <c r="O302" s="20"/>
    </row>
    <row r="303" spans="1:15" x14ac:dyDescent="0.2">
      <c r="A303" s="20" t="s">
        <v>945</v>
      </c>
      <c r="B303" s="20" t="s">
        <v>946</v>
      </c>
      <c r="C303" s="20" t="s">
        <v>362</v>
      </c>
      <c r="D303" s="20"/>
      <c r="E303" s="20"/>
      <c r="F303" s="20"/>
      <c r="G303" s="20"/>
      <c r="H303" s="20"/>
      <c r="I303" s="20"/>
      <c r="J303" s="20">
        <v>-1.384113661892663</v>
      </c>
      <c r="K303" s="20" t="s">
        <v>414</v>
      </c>
      <c r="L303" s="20" t="s">
        <v>363</v>
      </c>
      <c r="M303" s="20">
        <v>314.56</v>
      </c>
      <c r="N303" s="20" t="s">
        <v>365</v>
      </c>
      <c r="O303" s="20">
        <v>0.60649080180492887</v>
      </c>
    </row>
    <row r="304" spans="1:15" x14ac:dyDescent="0.2">
      <c r="A304" s="20" t="s">
        <v>947</v>
      </c>
      <c r="B304" s="20" t="s">
        <v>948</v>
      </c>
      <c r="C304" s="20" t="s">
        <v>362</v>
      </c>
      <c r="D304" s="20"/>
      <c r="E304" s="20"/>
      <c r="F304" s="20"/>
      <c r="G304" s="20"/>
      <c r="H304" s="20"/>
      <c r="I304" s="20"/>
      <c r="J304" s="20">
        <v>-1.384113661892663</v>
      </c>
      <c r="K304" s="20" t="s">
        <v>414</v>
      </c>
      <c r="L304" s="20" t="s">
        <v>363</v>
      </c>
      <c r="M304" s="20">
        <v>891.12999999999977</v>
      </c>
      <c r="N304" s="20" t="s">
        <v>365</v>
      </c>
      <c r="O304" s="20">
        <v>0.58321849501359924</v>
      </c>
    </row>
    <row r="305" spans="1:15" x14ac:dyDescent="0.2">
      <c r="A305" s="20" t="s">
        <v>949</v>
      </c>
      <c r="B305" s="20" t="s">
        <v>950</v>
      </c>
      <c r="C305" s="20" t="s">
        <v>362</v>
      </c>
      <c r="D305" s="20">
        <v>2299</v>
      </c>
      <c r="E305" s="20">
        <v>267</v>
      </c>
      <c r="F305" s="20">
        <v>61.662817551963037</v>
      </c>
      <c r="G305" s="20" t="s">
        <v>510</v>
      </c>
      <c r="H305" s="20"/>
      <c r="I305" s="20"/>
      <c r="J305" s="20">
        <v>-1.384113661892663</v>
      </c>
      <c r="K305" s="20" t="s">
        <v>414</v>
      </c>
      <c r="L305" s="20" t="s">
        <v>363</v>
      </c>
      <c r="M305" s="20">
        <v>505.76799999999997</v>
      </c>
      <c r="N305" s="20" t="s">
        <v>365</v>
      </c>
      <c r="O305" s="20">
        <v>0.67543382873319191</v>
      </c>
    </row>
    <row r="306" spans="1:15" x14ac:dyDescent="0.2">
      <c r="A306" s="20" t="s">
        <v>951</v>
      </c>
      <c r="B306" s="20" t="s">
        <v>952</v>
      </c>
      <c r="C306" s="20" t="s">
        <v>362</v>
      </c>
      <c r="D306" s="20">
        <v>2799</v>
      </c>
      <c r="E306" s="20">
        <v>26</v>
      </c>
      <c r="F306" s="20">
        <v>6.0046189376443424</v>
      </c>
      <c r="G306" s="20" t="s">
        <v>549</v>
      </c>
      <c r="H306" s="20"/>
      <c r="I306" s="20"/>
      <c r="J306" s="20">
        <v>-1.504740857521367</v>
      </c>
      <c r="K306" s="20" t="s">
        <v>364</v>
      </c>
      <c r="L306" s="20" t="s">
        <v>363</v>
      </c>
      <c r="M306" s="20">
        <v>666.31461538461542</v>
      </c>
      <c r="N306" s="20" t="s">
        <v>365</v>
      </c>
      <c r="O306" s="20">
        <v>0.67850764327450863</v>
      </c>
    </row>
    <row r="307" spans="1:15" x14ac:dyDescent="0.2">
      <c r="A307" s="20" t="s">
        <v>953</v>
      </c>
      <c r="B307" s="20" t="s">
        <v>954</v>
      </c>
      <c r="C307" s="20" t="s">
        <v>362</v>
      </c>
      <c r="D307" s="20">
        <v>1199</v>
      </c>
      <c r="E307" s="20">
        <v>62</v>
      </c>
      <c r="F307" s="20">
        <v>14.31870669745958</v>
      </c>
      <c r="G307" s="20" t="s">
        <v>452</v>
      </c>
      <c r="H307" s="20"/>
      <c r="I307" s="20"/>
      <c r="J307" s="20">
        <v>-3.643622761666514</v>
      </c>
      <c r="K307" s="20" t="s">
        <v>364</v>
      </c>
      <c r="L307" s="20" t="s">
        <v>363</v>
      </c>
      <c r="M307" s="20">
        <v>227.11</v>
      </c>
      <c r="N307" s="20" t="s">
        <v>365</v>
      </c>
      <c r="O307" s="20">
        <v>0.60994630369630365</v>
      </c>
    </row>
    <row r="308" spans="1:15" x14ac:dyDescent="0.2">
      <c r="A308" s="20" t="s">
        <v>955</v>
      </c>
      <c r="B308" s="20" t="s">
        <v>956</v>
      </c>
      <c r="C308" s="20" t="s">
        <v>362</v>
      </c>
      <c r="D308" s="20">
        <v>1299</v>
      </c>
      <c r="E308" s="20">
        <v>26</v>
      </c>
      <c r="F308" s="20">
        <v>6.0046189376443424</v>
      </c>
      <c r="G308" s="20" t="s">
        <v>452</v>
      </c>
      <c r="H308" s="20"/>
      <c r="I308" s="20"/>
      <c r="J308" s="20">
        <v>-3.643622761666514</v>
      </c>
      <c r="K308" s="20" t="s">
        <v>364</v>
      </c>
      <c r="L308" s="20" t="s">
        <v>363</v>
      </c>
      <c r="M308" s="20">
        <v>406.03399999999999</v>
      </c>
      <c r="N308" s="20" t="s">
        <v>365</v>
      </c>
      <c r="O308" s="20">
        <v>0.71704947735191638</v>
      </c>
    </row>
    <row r="309" spans="1:15" x14ac:dyDescent="0.2">
      <c r="A309" s="20" t="s">
        <v>957</v>
      </c>
      <c r="B309" s="20" t="s">
        <v>958</v>
      </c>
      <c r="C309" s="20" t="s">
        <v>362</v>
      </c>
      <c r="D309" s="20">
        <v>1399</v>
      </c>
      <c r="E309" s="20">
        <v>50</v>
      </c>
      <c r="F309" s="20">
        <v>11.5473441108545</v>
      </c>
      <c r="G309" s="20" t="s">
        <v>452</v>
      </c>
      <c r="H309" s="20"/>
      <c r="I309" s="20"/>
      <c r="J309" s="20">
        <v>-3.643622761666514</v>
      </c>
      <c r="K309" s="20" t="s">
        <v>364</v>
      </c>
      <c r="L309" s="20" t="s">
        <v>363</v>
      </c>
      <c r="M309" s="20">
        <v>359.4842857142857</v>
      </c>
      <c r="N309" s="20" t="s">
        <v>365</v>
      </c>
      <c r="O309" s="20">
        <v>0.69038573686984006</v>
      </c>
    </row>
    <row r="310" spans="1:15" x14ac:dyDescent="0.2">
      <c r="A310" s="20" t="s">
        <v>959</v>
      </c>
      <c r="B310" s="20" t="s">
        <v>960</v>
      </c>
      <c r="C310" s="20" t="s">
        <v>362</v>
      </c>
      <c r="D310" s="20"/>
      <c r="E310" s="20"/>
      <c r="F310" s="20"/>
      <c r="G310" s="20"/>
      <c r="H310" s="20"/>
      <c r="I310" s="20"/>
      <c r="J310" s="20">
        <v>-1.384113661892663</v>
      </c>
      <c r="K310" s="20" t="s">
        <v>414</v>
      </c>
      <c r="L310" s="20" t="s">
        <v>363</v>
      </c>
      <c r="M310" s="20">
        <v>469.81466666666671</v>
      </c>
      <c r="N310" s="20" t="s">
        <v>365</v>
      </c>
      <c r="O310" s="20">
        <v>0.65095021675290166</v>
      </c>
    </row>
    <row r="311" spans="1:15" x14ac:dyDescent="0.2">
      <c r="A311" s="20" t="s">
        <v>961</v>
      </c>
      <c r="B311" s="20" t="s">
        <v>962</v>
      </c>
      <c r="C311" s="20" t="s">
        <v>362</v>
      </c>
      <c r="D311" s="20"/>
      <c r="E311" s="20"/>
      <c r="F311" s="20"/>
      <c r="G311" s="20"/>
      <c r="H311" s="20"/>
      <c r="I311" s="20"/>
      <c r="J311" s="20">
        <v>-1.384113661892663</v>
      </c>
      <c r="K311" s="20" t="s">
        <v>414</v>
      </c>
      <c r="L311" s="20" t="s">
        <v>363</v>
      </c>
      <c r="M311" s="20"/>
      <c r="N311" s="20" t="s">
        <v>373</v>
      </c>
      <c r="O311" s="20"/>
    </row>
    <row r="312" spans="1:15" x14ac:dyDescent="0.2">
      <c r="A312" s="20" t="s">
        <v>963</v>
      </c>
      <c r="B312" s="20" t="s">
        <v>964</v>
      </c>
      <c r="C312" s="20" t="s">
        <v>362</v>
      </c>
      <c r="D312" s="20"/>
      <c r="E312" s="20"/>
      <c r="F312" s="20"/>
      <c r="G312" s="20"/>
      <c r="H312" s="20"/>
      <c r="I312" s="20"/>
      <c r="J312" s="20">
        <v>-1.384113661892663</v>
      </c>
      <c r="K312" s="20" t="s">
        <v>414</v>
      </c>
      <c r="L312" s="20" t="s">
        <v>363</v>
      </c>
      <c r="M312" s="20"/>
      <c r="N312" s="20" t="s">
        <v>373</v>
      </c>
      <c r="O312" s="20"/>
    </row>
    <row r="313" spans="1:15" x14ac:dyDescent="0.2">
      <c r="A313" s="20" t="s">
        <v>965</v>
      </c>
      <c r="B313" s="20" t="s">
        <v>966</v>
      </c>
      <c r="C313" s="20" t="s">
        <v>362</v>
      </c>
      <c r="D313" s="20">
        <v>699</v>
      </c>
      <c r="E313" s="20">
        <v>14</v>
      </c>
      <c r="F313" s="20">
        <v>3.2332563510392611</v>
      </c>
      <c r="G313" s="20" t="s">
        <v>463</v>
      </c>
      <c r="H313" s="20"/>
      <c r="I313" s="20"/>
      <c r="J313" s="20">
        <v>-2.6197664336783242</v>
      </c>
      <c r="K313" s="20" t="s">
        <v>364</v>
      </c>
      <c r="L313" s="20" t="s">
        <v>363</v>
      </c>
      <c r="M313" s="20">
        <v>174.78</v>
      </c>
      <c r="N313" s="20" t="s">
        <v>365</v>
      </c>
      <c r="O313" s="20">
        <v>0.75657381615598884</v>
      </c>
    </row>
    <row r="314" spans="1:15" x14ac:dyDescent="0.2">
      <c r="A314" s="20" t="s">
        <v>967</v>
      </c>
      <c r="B314" s="20" t="s">
        <v>968</v>
      </c>
      <c r="C314" s="20" t="s">
        <v>362</v>
      </c>
      <c r="D314" s="20">
        <v>3099</v>
      </c>
      <c r="E314" s="20">
        <v>107</v>
      </c>
      <c r="F314" s="20">
        <v>24.711316397228639</v>
      </c>
      <c r="G314" s="20" t="s">
        <v>549</v>
      </c>
      <c r="H314" s="20"/>
      <c r="I314" s="20"/>
      <c r="J314" s="20">
        <v>-1.504740857521367</v>
      </c>
      <c r="K314" s="20" t="s">
        <v>364</v>
      </c>
      <c r="L314" s="20" t="s">
        <v>363</v>
      </c>
      <c r="M314" s="20">
        <v>1210.9345652173911</v>
      </c>
      <c r="N314" s="20" t="s">
        <v>365</v>
      </c>
      <c r="O314" s="20">
        <v>0.58019975882968944</v>
      </c>
    </row>
    <row r="315" spans="1:15" x14ac:dyDescent="0.2">
      <c r="A315" s="20" t="s">
        <v>969</v>
      </c>
      <c r="B315" s="20" t="s">
        <v>970</v>
      </c>
      <c r="C315" s="20" t="s">
        <v>362</v>
      </c>
      <c r="D315" s="20">
        <v>3599</v>
      </c>
      <c r="E315" s="20">
        <v>13</v>
      </c>
      <c r="F315" s="20">
        <v>3.0023094688221712</v>
      </c>
      <c r="G315" s="20" t="s">
        <v>549</v>
      </c>
      <c r="H315" s="20"/>
      <c r="I315" s="20"/>
      <c r="J315" s="20">
        <v>-1.504740857521367</v>
      </c>
      <c r="K315" s="20" t="s">
        <v>364</v>
      </c>
      <c r="L315" s="20" t="s">
        <v>363</v>
      </c>
      <c r="M315" s="20">
        <v>1108.42</v>
      </c>
      <c r="N315" s="20" t="s">
        <v>365</v>
      </c>
      <c r="O315" s="20">
        <v>0.54287084556019494</v>
      </c>
    </row>
    <row r="316" spans="1:15" x14ac:dyDescent="0.2">
      <c r="A316" s="20" t="s">
        <v>971</v>
      </c>
      <c r="B316" s="20" t="s">
        <v>972</v>
      </c>
      <c r="C316" s="20" t="s">
        <v>362</v>
      </c>
      <c r="D316" s="20"/>
      <c r="E316" s="20"/>
      <c r="F316" s="20"/>
      <c r="G316" s="20"/>
      <c r="H316" s="20"/>
      <c r="I316" s="20"/>
      <c r="J316" s="20">
        <v>-1.384113661892663</v>
      </c>
      <c r="K316" s="20" t="s">
        <v>414</v>
      </c>
      <c r="L316" s="20" t="s">
        <v>363</v>
      </c>
      <c r="M316" s="20">
        <v>445.43999999999988</v>
      </c>
      <c r="N316" s="20" t="s">
        <v>365</v>
      </c>
      <c r="O316" s="20">
        <v>0.66985207673922886</v>
      </c>
    </row>
    <row r="317" spans="1:15" x14ac:dyDescent="0.2">
      <c r="A317" s="20" t="s">
        <v>973</v>
      </c>
      <c r="B317" s="20" t="s">
        <v>974</v>
      </c>
      <c r="C317" s="20" t="s">
        <v>362</v>
      </c>
      <c r="D317" s="20">
        <v>3099</v>
      </c>
      <c r="E317" s="20">
        <v>149</v>
      </c>
      <c r="F317" s="20">
        <v>34.41108545034642</v>
      </c>
      <c r="G317" s="20" t="s">
        <v>549</v>
      </c>
      <c r="H317" s="20"/>
      <c r="I317" s="20"/>
      <c r="J317" s="20">
        <v>-1.504740857521367</v>
      </c>
      <c r="K317" s="20" t="s">
        <v>364</v>
      </c>
      <c r="L317" s="20" t="s">
        <v>363</v>
      </c>
      <c r="M317" s="20">
        <v>1054.7785365853661</v>
      </c>
      <c r="N317" s="20" t="s">
        <v>365</v>
      </c>
      <c r="O317" s="20">
        <v>0.54689217057084671</v>
      </c>
    </row>
    <row r="318" spans="1:15" x14ac:dyDescent="0.2">
      <c r="A318" s="20" t="s">
        <v>975</v>
      </c>
      <c r="B318" s="20" t="s">
        <v>976</v>
      </c>
      <c r="C318" s="20" t="s">
        <v>362</v>
      </c>
      <c r="D318" s="20">
        <v>3599</v>
      </c>
      <c r="E318" s="20">
        <v>15</v>
      </c>
      <c r="F318" s="20">
        <v>3.464203233256351</v>
      </c>
      <c r="G318" s="20" t="s">
        <v>549</v>
      </c>
      <c r="H318" s="20"/>
      <c r="I318" s="20"/>
      <c r="J318" s="20">
        <v>-1.504740857521367</v>
      </c>
      <c r="K318" s="20" t="s">
        <v>364</v>
      </c>
      <c r="L318" s="20" t="s">
        <v>363</v>
      </c>
      <c r="M318" s="20">
        <v>1221.5452380952379</v>
      </c>
      <c r="N318" s="20" t="s">
        <v>365</v>
      </c>
      <c r="O318" s="20">
        <v>0.58103609989021887</v>
      </c>
    </row>
    <row r="319" spans="1:15" x14ac:dyDescent="0.2">
      <c r="A319" s="20" t="s">
        <v>977</v>
      </c>
      <c r="B319" s="20" t="s">
        <v>978</v>
      </c>
      <c r="C319" s="20" t="s">
        <v>362</v>
      </c>
      <c r="D319" s="20"/>
      <c r="E319" s="20"/>
      <c r="F319" s="20"/>
      <c r="G319" s="20"/>
      <c r="H319" s="20"/>
      <c r="I319" s="20"/>
      <c r="J319" s="20">
        <v>-1.384113661892663</v>
      </c>
      <c r="K319" s="20" t="s">
        <v>414</v>
      </c>
      <c r="L319" s="20" t="s">
        <v>363</v>
      </c>
      <c r="M319" s="20">
        <v>340.32142857142861</v>
      </c>
      <c r="N319" s="20" t="s">
        <v>365</v>
      </c>
      <c r="O319" s="20">
        <v>0.72179726731285765</v>
      </c>
    </row>
    <row r="320" spans="1:15" x14ac:dyDescent="0.2">
      <c r="A320" s="20" t="s">
        <v>94</v>
      </c>
      <c r="B320" s="20" t="s">
        <v>95</v>
      </c>
      <c r="C320" s="20" t="s">
        <v>362</v>
      </c>
      <c r="D320" s="20">
        <v>1299</v>
      </c>
      <c r="E320" s="20">
        <v>308</v>
      </c>
      <c r="F320" s="20">
        <v>71.131639722863738</v>
      </c>
      <c r="G320" s="20" t="s">
        <v>452</v>
      </c>
      <c r="H320" s="20"/>
      <c r="I320" s="20"/>
      <c r="J320" s="20">
        <v>-3.643622761666514</v>
      </c>
      <c r="K320" s="20" t="s">
        <v>364</v>
      </c>
      <c r="L320" s="20" t="s">
        <v>363</v>
      </c>
      <c r="M320" s="20">
        <v>375.16070175438603</v>
      </c>
      <c r="N320" s="20" t="s">
        <v>365</v>
      </c>
      <c r="O320" s="20">
        <v>0.61325046921805282</v>
      </c>
    </row>
    <row r="321" spans="1:15" x14ac:dyDescent="0.2">
      <c r="A321" s="20" t="s">
        <v>979</v>
      </c>
      <c r="B321" s="20" t="s">
        <v>980</v>
      </c>
      <c r="C321" s="20" t="s">
        <v>367</v>
      </c>
      <c r="D321" s="20">
        <v>385.62150017283102</v>
      </c>
      <c r="E321" s="20">
        <v>2893</v>
      </c>
      <c r="F321" s="20">
        <v>668.12933025404152</v>
      </c>
      <c r="G321" s="20" t="s">
        <v>409</v>
      </c>
      <c r="H321" s="20">
        <v>1</v>
      </c>
      <c r="I321" s="20">
        <v>1.4489169960360611</v>
      </c>
      <c r="J321" s="20">
        <v>1.4489169960360611</v>
      </c>
      <c r="K321" s="20" t="s">
        <v>369</v>
      </c>
      <c r="L321" s="20" t="s">
        <v>370</v>
      </c>
      <c r="M321" s="20">
        <v>51.659292035398231</v>
      </c>
      <c r="N321" s="20" t="s">
        <v>365</v>
      </c>
      <c r="O321" s="20">
        <v>0.82976196492646692</v>
      </c>
    </row>
    <row r="322" spans="1:15" x14ac:dyDescent="0.2">
      <c r="A322" s="20" t="s">
        <v>981</v>
      </c>
      <c r="B322" s="20" t="s">
        <v>982</v>
      </c>
      <c r="C322" s="20" t="s">
        <v>362</v>
      </c>
      <c r="D322" s="20">
        <v>1499</v>
      </c>
      <c r="E322" s="20">
        <v>100</v>
      </c>
      <c r="F322" s="20">
        <v>23.09468822170901</v>
      </c>
      <c r="G322" s="20" t="s">
        <v>452</v>
      </c>
      <c r="H322" s="20"/>
      <c r="I322" s="20"/>
      <c r="J322" s="20">
        <v>-3.643622761666514</v>
      </c>
      <c r="K322" s="20" t="s">
        <v>364</v>
      </c>
      <c r="L322" s="20" t="s">
        <v>363</v>
      </c>
      <c r="M322" s="20">
        <v>154.84</v>
      </c>
      <c r="N322" s="20" t="s">
        <v>365</v>
      </c>
      <c r="O322" s="20">
        <v>0.88062995594713667</v>
      </c>
    </row>
    <row r="323" spans="1:15" x14ac:dyDescent="0.2">
      <c r="A323" s="20" t="s">
        <v>983</v>
      </c>
      <c r="B323" s="20" t="s">
        <v>984</v>
      </c>
      <c r="C323" s="20" t="s">
        <v>362</v>
      </c>
      <c r="D323" s="20">
        <v>1299</v>
      </c>
      <c r="E323" s="20">
        <v>49</v>
      </c>
      <c r="F323" s="20">
        <v>11.31639722863741</v>
      </c>
      <c r="G323" s="20" t="s">
        <v>452</v>
      </c>
      <c r="H323" s="20"/>
      <c r="I323" s="20"/>
      <c r="J323" s="20">
        <v>-3.643622761666514</v>
      </c>
      <c r="K323" s="20" t="s">
        <v>364</v>
      </c>
      <c r="L323" s="20" t="s">
        <v>363</v>
      </c>
      <c r="M323" s="20">
        <v>448.58705882352939</v>
      </c>
      <c r="N323" s="20" t="s">
        <v>365</v>
      </c>
      <c r="O323" s="20">
        <v>0.47172709706751542</v>
      </c>
    </row>
    <row r="324" spans="1:15" x14ac:dyDescent="0.2">
      <c r="A324" s="20" t="s">
        <v>985</v>
      </c>
      <c r="B324" s="20" t="s">
        <v>986</v>
      </c>
      <c r="C324" s="20" t="s">
        <v>367</v>
      </c>
      <c r="D324" s="20">
        <v>1015.8270676691729</v>
      </c>
      <c r="E324" s="20">
        <v>133</v>
      </c>
      <c r="F324" s="20">
        <v>30.715935334872981</v>
      </c>
      <c r="G324" s="20" t="s">
        <v>452</v>
      </c>
      <c r="H324" s="20"/>
      <c r="I324" s="20"/>
      <c r="J324" s="20">
        <v>3.1718382023897091</v>
      </c>
      <c r="K324" s="20" t="s">
        <v>364</v>
      </c>
      <c r="L324" s="20" t="s">
        <v>363</v>
      </c>
      <c r="M324" s="20">
        <v>110</v>
      </c>
      <c r="N324" s="20" t="s">
        <v>365</v>
      </c>
      <c r="O324" s="20">
        <v>0.5791899901218307</v>
      </c>
    </row>
    <row r="325" spans="1:15" x14ac:dyDescent="0.2">
      <c r="A325" s="20" t="s">
        <v>987</v>
      </c>
      <c r="B325" s="20" t="s">
        <v>988</v>
      </c>
      <c r="C325" s="20" t="s">
        <v>367</v>
      </c>
      <c r="D325" s="20"/>
      <c r="E325" s="20"/>
      <c r="F325" s="20"/>
      <c r="G325" s="20"/>
      <c r="H325" s="20">
        <v>1</v>
      </c>
      <c r="I325" s="20">
        <v>-0.44391261346432898</v>
      </c>
      <c r="J325" s="20">
        <v>-0.44391261346432898</v>
      </c>
      <c r="K325" s="20" t="s">
        <v>369</v>
      </c>
      <c r="L325" s="20" t="s">
        <v>370</v>
      </c>
      <c r="M325" s="20">
        <v>110</v>
      </c>
      <c r="N325" s="20" t="s">
        <v>365</v>
      </c>
      <c r="O325" s="20">
        <v>0.86650485436893199</v>
      </c>
    </row>
    <row r="326" spans="1:15" x14ac:dyDescent="0.2">
      <c r="A326" s="20" t="s">
        <v>989</v>
      </c>
      <c r="B326" s="20" t="s">
        <v>990</v>
      </c>
      <c r="C326" s="20" t="s">
        <v>367</v>
      </c>
      <c r="D326" s="20"/>
      <c r="E326" s="20"/>
      <c r="F326" s="20"/>
      <c r="G326" s="20"/>
      <c r="H326" s="20"/>
      <c r="I326" s="20"/>
      <c r="J326" s="20">
        <v>-1.08034578285814</v>
      </c>
      <c r="K326" s="20" t="s">
        <v>414</v>
      </c>
      <c r="L326" s="20" t="s">
        <v>363</v>
      </c>
      <c r="M326" s="20"/>
      <c r="N326" s="20" t="s">
        <v>373</v>
      </c>
      <c r="O326" s="20"/>
    </row>
    <row r="327" spans="1:15" x14ac:dyDescent="0.2">
      <c r="A327" s="20" t="s">
        <v>991</v>
      </c>
      <c r="B327" s="20" t="s">
        <v>992</v>
      </c>
      <c r="C327" s="20" t="s">
        <v>367</v>
      </c>
      <c r="D327" s="20">
        <v>588</v>
      </c>
      <c r="E327" s="20">
        <v>105</v>
      </c>
      <c r="F327" s="20">
        <v>24.24942263279446</v>
      </c>
      <c r="G327" s="20" t="s">
        <v>409</v>
      </c>
      <c r="H327" s="20"/>
      <c r="I327" s="20"/>
      <c r="J327" s="20">
        <v>-1.273147819780216</v>
      </c>
      <c r="K327" s="20" t="s">
        <v>364</v>
      </c>
      <c r="L327" s="20" t="s">
        <v>363</v>
      </c>
      <c r="M327" s="20">
        <v>108.9</v>
      </c>
      <c r="N327" s="20" t="s">
        <v>365</v>
      </c>
      <c r="O327" s="20">
        <v>0.86298439859084042</v>
      </c>
    </row>
    <row r="328" spans="1:15" x14ac:dyDescent="0.2">
      <c r="A328" s="20" t="s">
        <v>993</v>
      </c>
      <c r="B328" s="20" t="s">
        <v>994</v>
      </c>
      <c r="C328" s="20" t="s">
        <v>367</v>
      </c>
      <c r="D328" s="20">
        <v>321.99026425591097</v>
      </c>
      <c r="E328" s="20">
        <v>1438</v>
      </c>
      <c r="F328" s="20">
        <v>332.10161662817552</v>
      </c>
      <c r="G328" s="20" t="s">
        <v>409</v>
      </c>
      <c r="H328" s="20">
        <v>4</v>
      </c>
      <c r="I328" s="20">
        <v>0.17387845339582639</v>
      </c>
      <c r="J328" s="20">
        <v>0.17387845339582639</v>
      </c>
      <c r="K328" s="20" t="s">
        <v>369</v>
      </c>
      <c r="L328" s="20" t="s">
        <v>370</v>
      </c>
      <c r="M328" s="20">
        <v>88.534999999999997</v>
      </c>
      <c r="N328" s="20" t="s">
        <v>365</v>
      </c>
      <c r="O328" s="20">
        <v>0.88302283880709709</v>
      </c>
    </row>
    <row r="329" spans="1:15" x14ac:dyDescent="0.2">
      <c r="A329" s="20" t="s">
        <v>995</v>
      </c>
      <c r="B329" s="20" t="s">
        <v>996</v>
      </c>
      <c r="C329" s="20" t="s">
        <v>367</v>
      </c>
      <c r="D329" s="20">
        <v>436.64150943396231</v>
      </c>
      <c r="E329" s="20">
        <v>212</v>
      </c>
      <c r="F329" s="20">
        <v>48.960739030023092</v>
      </c>
      <c r="G329" s="20" t="s">
        <v>409</v>
      </c>
      <c r="H329" s="20"/>
      <c r="I329" s="20"/>
      <c r="J329" s="20">
        <v>-1.273147819780216</v>
      </c>
      <c r="K329" s="20" t="s">
        <v>364</v>
      </c>
      <c r="L329" s="20" t="s">
        <v>363</v>
      </c>
      <c r="M329" s="20">
        <v>20</v>
      </c>
      <c r="N329" s="20" t="s">
        <v>365</v>
      </c>
      <c r="O329" s="20">
        <v>0.47907949790794979</v>
      </c>
    </row>
    <row r="330" spans="1:15" x14ac:dyDescent="0.2">
      <c r="A330" s="20" t="s">
        <v>997</v>
      </c>
      <c r="B330" s="20" t="s">
        <v>998</v>
      </c>
      <c r="C330" s="20" t="s">
        <v>367</v>
      </c>
      <c r="D330" s="20">
        <v>249</v>
      </c>
      <c r="E330" s="20">
        <v>175</v>
      </c>
      <c r="F330" s="20">
        <v>40.415704387990758</v>
      </c>
      <c r="G330" s="20" t="s">
        <v>439</v>
      </c>
      <c r="H330" s="20">
        <v>1</v>
      </c>
      <c r="I330" s="20">
        <v>0.1480963461812351</v>
      </c>
      <c r="J330" s="20">
        <v>0.1480963461812351</v>
      </c>
      <c r="K330" s="20" t="s">
        <v>369</v>
      </c>
      <c r="L330" s="20" t="s">
        <v>370</v>
      </c>
      <c r="M330" s="20">
        <v>20</v>
      </c>
      <c r="N330" s="20" t="s">
        <v>365</v>
      </c>
      <c r="O330" s="20">
        <v>0.92452830188679247</v>
      </c>
    </row>
    <row r="331" spans="1:15" x14ac:dyDescent="0.2">
      <c r="A331" s="20" t="s">
        <v>999</v>
      </c>
      <c r="B331" s="20" t="s">
        <v>1000</v>
      </c>
      <c r="C331" s="20" t="s">
        <v>367</v>
      </c>
      <c r="D331" s="20">
        <v>389.23121387283243</v>
      </c>
      <c r="E331" s="20">
        <v>346</v>
      </c>
      <c r="F331" s="20">
        <v>79.90762124711317</v>
      </c>
      <c r="G331" s="20" t="s">
        <v>409</v>
      </c>
      <c r="H331" s="20"/>
      <c r="I331" s="20"/>
      <c r="J331" s="20">
        <v>-1.273147819780216</v>
      </c>
      <c r="K331" s="20" t="s">
        <v>364</v>
      </c>
      <c r="L331" s="20" t="s">
        <v>363</v>
      </c>
      <c r="M331" s="20">
        <v>34.83</v>
      </c>
      <c r="N331" s="20" t="s">
        <v>365</v>
      </c>
      <c r="O331" s="20">
        <v>0.90990688049663737</v>
      </c>
    </row>
    <row r="332" spans="1:15" x14ac:dyDescent="0.2">
      <c r="A332" s="20" t="s">
        <v>1001</v>
      </c>
      <c r="B332" s="20" t="s">
        <v>1002</v>
      </c>
      <c r="C332" s="20" t="s">
        <v>367</v>
      </c>
      <c r="D332" s="20"/>
      <c r="E332" s="20"/>
      <c r="F332" s="20"/>
      <c r="G332" s="20"/>
      <c r="H332" s="20"/>
      <c r="I332" s="20"/>
      <c r="J332" s="20">
        <v>-1.08034578285814</v>
      </c>
      <c r="K332" s="20" t="s">
        <v>414</v>
      </c>
      <c r="L332" s="20" t="s">
        <v>363</v>
      </c>
      <c r="M332" s="20">
        <v>412.78</v>
      </c>
      <c r="N332" s="20" t="s">
        <v>365</v>
      </c>
      <c r="O332" s="20">
        <v>0.81627002967359052</v>
      </c>
    </row>
    <row r="333" spans="1:15" x14ac:dyDescent="0.2">
      <c r="A333" s="20" t="s">
        <v>1003</v>
      </c>
      <c r="B333" s="20" t="s">
        <v>1004</v>
      </c>
      <c r="C333" s="20" t="s">
        <v>367</v>
      </c>
      <c r="D333" s="20"/>
      <c r="E333" s="20"/>
      <c r="F333" s="20"/>
      <c r="G333" s="20"/>
      <c r="H333" s="20"/>
      <c r="I333" s="20"/>
      <c r="J333" s="20">
        <v>-1.08034578285814</v>
      </c>
      <c r="K333" s="20" t="s">
        <v>414</v>
      </c>
      <c r="L333" s="20" t="s">
        <v>363</v>
      </c>
      <c r="M333" s="20"/>
      <c r="N333" s="20" t="s">
        <v>373</v>
      </c>
      <c r="O333" s="20"/>
    </row>
    <row r="334" spans="1:15" x14ac:dyDescent="0.2">
      <c r="A334" s="20" t="s">
        <v>1005</v>
      </c>
      <c r="B334" s="20" t="s">
        <v>1006</v>
      </c>
      <c r="C334" s="20" t="s">
        <v>367</v>
      </c>
      <c r="D334" s="20">
        <v>399</v>
      </c>
      <c r="E334" s="20">
        <v>100</v>
      </c>
      <c r="F334" s="20">
        <v>23.09468822170901</v>
      </c>
      <c r="G334" s="20" t="s">
        <v>409</v>
      </c>
      <c r="H334" s="20">
        <v>3</v>
      </c>
      <c r="I334" s="20">
        <v>-0.1055991260187122</v>
      </c>
      <c r="J334" s="20">
        <v>-0.1055991260187122</v>
      </c>
      <c r="K334" s="20" t="s">
        <v>369</v>
      </c>
      <c r="L334" s="20" t="s">
        <v>368</v>
      </c>
      <c r="M334" s="20">
        <v>43.636363636363633</v>
      </c>
      <c r="N334" s="20" t="s">
        <v>365</v>
      </c>
      <c r="O334" s="20">
        <v>0.90345937248592112</v>
      </c>
    </row>
    <row r="335" spans="1:15" x14ac:dyDescent="0.2">
      <c r="A335" s="20" t="s">
        <v>1007</v>
      </c>
      <c r="B335" s="20" t="s">
        <v>1008</v>
      </c>
      <c r="C335" s="20" t="s">
        <v>367</v>
      </c>
      <c r="D335" s="20">
        <v>149</v>
      </c>
      <c r="E335" s="20">
        <v>128</v>
      </c>
      <c r="F335" s="20">
        <v>29.561200923787531</v>
      </c>
      <c r="G335" s="20" t="s">
        <v>439</v>
      </c>
      <c r="H335" s="20">
        <v>2</v>
      </c>
      <c r="I335" s="20">
        <v>-3.0356223390721651</v>
      </c>
      <c r="J335" s="20">
        <v>-3.0356223390721651</v>
      </c>
      <c r="K335" s="20" t="s">
        <v>369</v>
      </c>
      <c r="L335" s="20" t="s">
        <v>368</v>
      </c>
      <c r="M335" s="20">
        <v>410.54199999999997</v>
      </c>
      <c r="N335" s="20" t="s">
        <v>365</v>
      </c>
      <c r="O335" s="20">
        <v>0.76016941231452273</v>
      </c>
    </row>
    <row r="336" spans="1:15" x14ac:dyDescent="0.2">
      <c r="A336" s="20" t="s">
        <v>103</v>
      </c>
      <c r="B336" s="20" t="s">
        <v>104</v>
      </c>
      <c r="C336" s="20" t="s">
        <v>367</v>
      </c>
      <c r="D336" s="20">
        <v>245.88836104513061</v>
      </c>
      <c r="E336" s="20">
        <v>421</v>
      </c>
      <c r="F336" s="20">
        <v>97.228637413394921</v>
      </c>
      <c r="G336" s="20" t="s">
        <v>439</v>
      </c>
      <c r="H336" s="20">
        <v>2</v>
      </c>
      <c r="I336" s="20">
        <v>-3.733754834493539</v>
      </c>
      <c r="J336" s="20">
        <v>-3.733754834493539</v>
      </c>
      <c r="K336" s="20" t="s">
        <v>369</v>
      </c>
      <c r="L336" s="20" t="s">
        <v>370</v>
      </c>
      <c r="M336" s="20">
        <v>28.333333333333329</v>
      </c>
      <c r="N336" s="20" t="s">
        <v>365</v>
      </c>
      <c r="O336" s="20">
        <v>0.86533717105263153</v>
      </c>
    </row>
    <row r="337" spans="1:15" x14ac:dyDescent="0.2">
      <c r="A337" s="20" t="s">
        <v>1009</v>
      </c>
      <c r="B337" s="20" t="s">
        <v>1010</v>
      </c>
      <c r="C337" s="20" t="s">
        <v>367</v>
      </c>
      <c r="D337" s="20">
        <v>249</v>
      </c>
      <c r="E337" s="20">
        <v>13</v>
      </c>
      <c r="F337" s="20">
        <v>3.0023094688221712</v>
      </c>
      <c r="G337" s="20" t="s">
        <v>439</v>
      </c>
      <c r="H337" s="20"/>
      <c r="I337" s="20"/>
      <c r="J337" s="20">
        <v>-1.2244635497835541</v>
      </c>
      <c r="K337" s="20" t="s">
        <v>364</v>
      </c>
      <c r="L337" s="20" t="s">
        <v>363</v>
      </c>
      <c r="M337" s="20">
        <v>74.7</v>
      </c>
      <c r="N337" s="20" t="s">
        <v>373</v>
      </c>
      <c r="O337" s="20"/>
    </row>
    <row r="338" spans="1:15" x14ac:dyDescent="0.2">
      <c r="A338" s="20" t="s">
        <v>1011</v>
      </c>
      <c r="B338" s="20" t="s">
        <v>1012</v>
      </c>
      <c r="C338" s="20" t="s">
        <v>367</v>
      </c>
      <c r="D338" s="20">
        <v>3399</v>
      </c>
      <c r="E338" s="20">
        <v>16</v>
      </c>
      <c r="F338" s="20">
        <v>3.695150115473441</v>
      </c>
      <c r="G338" s="20" t="s">
        <v>549</v>
      </c>
      <c r="H338" s="20"/>
      <c r="I338" s="20"/>
      <c r="J338" s="20">
        <v>-2.4226511382014659</v>
      </c>
      <c r="K338" s="20" t="s">
        <v>364</v>
      </c>
      <c r="L338" s="20" t="s">
        <v>363</v>
      </c>
      <c r="M338" s="20">
        <v>1117.2</v>
      </c>
      <c r="N338" s="20" t="s">
        <v>365</v>
      </c>
      <c r="O338" s="20">
        <v>0.45430909090909088</v>
      </c>
    </row>
    <row r="339" spans="1:15" x14ac:dyDescent="0.2">
      <c r="A339" s="20" t="s">
        <v>1013</v>
      </c>
      <c r="B339" s="20" t="s">
        <v>1014</v>
      </c>
      <c r="C339" s="20" t="s">
        <v>367</v>
      </c>
      <c r="D339" s="20">
        <v>749</v>
      </c>
      <c r="E339" s="20">
        <v>14</v>
      </c>
      <c r="F339" s="20">
        <v>3.2332563510392611</v>
      </c>
      <c r="G339" s="20" t="s">
        <v>463</v>
      </c>
      <c r="H339" s="20"/>
      <c r="I339" s="20"/>
      <c r="J339" s="20">
        <v>-2.3697537837821541</v>
      </c>
      <c r="K339" s="20" t="s">
        <v>364</v>
      </c>
      <c r="L339" s="20" t="s">
        <v>363</v>
      </c>
      <c r="M339" s="20">
        <v>122.89</v>
      </c>
      <c r="N339" s="20" t="s">
        <v>365</v>
      </c>
      <c r="O339" s="20">
        <v>0.67941739130434786</v>
      </c>
    </row>
    <row r="340" spans="1:15" x14ac:dyDescent="0.2">
      <c r="A340" s="20" t="s">
        <v>1015</v>
      </c>
      <c r="B340" s="20" t="s">
        <v>1016</v>
      </c>
      <c r="C340" s="20" t="s">
        <v>367</v>
      </c>
      <c r="D340" s="20"/>
      <c r="E340" s="20"/>
      <c r="F340" s="20"/>
      <c r="G340" s="20"/>
      <c r="H340" s="20"/>
      <c r="I340" s="20"/>
      <c r="J340" s="20">
        <v>-1.08034578285814</v>
      </c>
      <c r="K340" s="20" t="s">
        <v>414</v>
      </c>
      <c r="L340" s="20" t="s">
        <v>363</v>
      </c>
      <c r="M340" s="20">
        <v>162.34</v>
      </c>
      <c r="N340" s="20" t="s">
        <v>365</v>
      </c>
      <c r="O340" s="20">
        <v>0.88089508437270736</v>
      </c>
    </row>
    <row r="341" spans="1:15" x14ac:dyDescent="0.2">
      <c r="A341" s="20" t="s">
        <v>105</v>
      </c>
      <c r="B341" s="20" t="s">
        <v>106</v>
      </c>
      <c r="C341" s="20" t="s">
        <v>367</v>
      </c>
      <c r="D341" s="20">
        <v>532.52452830188679</v>
      </c>
      <c r="E341" s="20">
        <v>265</v>
      </c>
      <c r="F341" s="20">
        <v>61.200923787528858</v>
      </c>
      <c r="G341" s="20" t="s">
        <v>409</v>
      </c>
      <c r="H341" s="20">
        <v>1</v>
      </c>
      <c r="I341" s="20">
        <v>-6.4314457303966621E-2</v>
      </c>
      <c r="J341" s="20">
        <v>-6.4314457303966621E-2</v>
      </c>
      <c r="K341" s="20" t="s">
        <v>369</v>
      </c>
      <c r="L341" s="20" t="s">
        <v>370</v>
      </c>
      <c r="M341" s="20">
        <v>62.43333333333333</v>
      </c>
      <c r="N341" s="20" t="s">
        <v>365</v>
      </c>
      <c r="O341" s="20">
        <v>0.78837811589511164</v>
      </c>
    </row>
    <row r="342" spans="1:15" x14ac:dyDescent="0.2">
      <c r="A342" s="20" t="s">
        <v>1017</v>
      </c>
      <c r="B342" s="20" t="s">
        <v>1018</v>
      </c>
      <c r="C342" s="20" t="s">
        <v>367</v>
      </c>
      <c r="D342" s="20">
        <v>1199</v>
      </c>
      <c r="E342" s="20">
        <v>11</v>
      </c>
      <c r="F342" s="20">
        <v>2.5404157043879909</v>
      </c>
      <c r="G342" s="20" t="s">
        <v>452</v>
      </c>
      <c r="H342" s="20">
        <v>1</v>
      </c>
      <c r="I342" s="20">
        <v>0.65548563835151252</v>
      </c>
      <c r="J342" s="20">
        <v>0.65548563835151252</v>
      </c>
      <c r="K342" s="20" t="s">
        <v>369</v>
      </c>
      <c r="L342" s="20" t="s">
        <v>370</v>
      </c>
      <c r="M342" s="20">
        <v>359.7</v>
      </c>
      <c r="N342" s="20" t="s">
        <v>373</v>
      </c>
      <c r="O342" s="20"/>
    </row>
    <row r="343" spans="1:15" x14ac:dyDescent="0.2">
      <c r="A343" s="20" t="s">
        <v>1019</v>
      </c>
      <c r="B343" s="20" t="s">
        <v>1020</v>
      </c>
      <c r="C343" s="20" t="s">
        <v>367</v>
      </c>
      <c r="D343" s="20">
        <v>599</v>
      </c>
      <c r="E343" s="20">
        <v>57</v>
      </c>
      <c r="F343" s="20">
        <v>13.163972286374131</v>
      </c>
      <c r="G343" s="20" t="s">
        <v>409</v>
      </c>
      <c r="H343" s="20">
        <v>1</v>
      </c>
      <c r="I343" s="20">
        <v>1.3512588930780149</v>
      </c>
      <c r="J343" s="20">
        <v>1.3512588930780149</v>
      </c>
      <c r="K343" s="20" t="s">
        <v>369</v>
      </c>
      <c r="L343" s="20" t="s">
        <v>370</v>
      </c>
      <c r="M343" s="20">
        <v>41.28</v>
      </c>
      <c r="N343" s="20" t="s">
        <v>365</v>
      </c>
      <c r="O343" s="20"/>
    </row>
    <row r="344" spans="1:15" x14ac:dyDescent="0.2">
      <c r="A344" s="20" t="s">
        <v>1021</v>
      </c>
      <c r="B344" s="20" t="s">
        <v>1022</v>
      </c>
      <c r="C344" s="20" t="s">
        <v>367</v>
      </c>
      <c r="D344" s="20"/>
      <c r="E344" s="20"/>
      <c r="F344" s="20"/>
      <c r="G344" s="20"/>
      <c r="H344" s="20"/>
      <c r="I344" s="20"/>
      <c r="J344" s="20">
        <v>-1.08034578285814</v>
      </c>
      <c r="K344" s="20" t="s">
        <v>414</v>
      </c>
      <c r="L344" s="20" t="s">
        <v>363</v>
      </c>
      <c r="M344" s="20">
        <v>36</v>
      </c>
      <c r="N344" s="20" t="s">
        <v>365</v>
      </c>
      <c r="O344" s="20">
        <v>0.9222462203023758</v>
      </c>
    </row>
    <row r="345" spans="1:15" x14ac:dyDescent="0.2">
      <c r="A345" s="20" t="s">
        <v>1023</v>
      </c>
      <c r="B345" s="20" t="s">
        <v>1024</v>
      </c>
      <c r="C345" s="20" t="s">
        <v>367</v>
      </c>
      <c r="D345" s="20">
        <v>499</v>
      </c>
      <c r="E345" s="20">
        <v>180</v>
      </c>
      <c r="F345" s="20">
        <v>41.570438799076207</v>
      </c>
      <c r="G345" s="20" t="s">
        <v>409</v>
      </c>
      <c r="H345" s="20"/>
      <c r="I345" s="20"/>
      <c r="J345" s="20">
        <v>-1.273147819780216</v>
      </c>
      <c r="K345" s="20" t="s">
        <v>364</v>
      </c>
      <c r="L345" s="20" t="s">
        <v>363</v>
      </c>
      <c r="M345" s="20">
        <v>75.850000000000009</v>
      </c>
      <c r="N345" s="20" t="s">
        <v>365</v>
      </c>
      <c r="O345" s="20">
        <v>0.88482646420824296</v>
      </c>
    </row>
    <row r="346" spans="1:15" x14ac:dyDescent="0.2">
      <c r="A346" s="20" t="s">
        <v>1025</v>
      </c>
      <c r="B346" s="20" t="s">
        <v>1026</v>
      </c>
      <c r="C346" s="20" t="s">
        <v>367</v>
      </c>
      <c r="D346" s="20">
        <v>2599</v>
      </c>
      <c r="E346" s="20">
        <v>51</v>
      </c>
      <c r="F346" s="20">
        <v>11.77829099307159</v>
      </c>
      <c r="G346" s="20" t="s">
        <v>549</v>
      </c>
      <c r="H346" s="20"/>
      <c r="I346" s="20"/>
      <c r="J346" s="20">
        <v>-2.4226511382014659</v>
      </c>
      <c r="K346" s="20" t="s">
        <v>364</v>
      </c>
      <c r="L346" s="20" t="s">
        <v>363</v>
      </c>
      <c r="M346" s="20">
        <v>453.41</v>
      </c>
      <c r="N346" s="20" t="s">
        <v>365</v>
      </c>
      <c r="O346" s="20">
        <v>0.70147035205612607</v>
      </c>
    </row>
    <row r="347" spans="1:15" x14ac:dyDescent="0.2">
      <c r="A347" s="20" t="s">
        <v>113</v>
      </c>
      <c r="B347" s="20" t="s">
        <v>114</v>
      </c>
      <c r="C347" s="20" t="s">
        <v>362</v>
      </c>
      <c r="D347" s="20">
        <v>1149</v>
      </c>
      <c r="E347" s="20">
        <v>598</v>
      </c>
      <c r="F347" s="20">
        <v>138.1062355658199</v>
      </c>
      <c r="G347" s="20" t="s">
        <v>452</v>
      </c>
      <c r="H347" s="20">
        <v>1</v>
      </c>
      <c r="I347" s="20">
        <v>-0.78290550930127867</v>
      </c>
      <c r="J347" s="20">
        <v>-0.78290550930127867</v>
      </c>
      <c r="K347" s="20" t="s">
        <v>369</v>
      </c>
      <c r="L347" s="20" t="s">
        <v>370</v>
      </c>
      <c r="M347" s="20">
        <v>63.244615384615393</v>
      </c>
      <c r="N347" s="20" t="s">
        <v>365</v>
      </c>
      <c r="O347" s="20">
        <v>0.83855438521066206</v>
      </c>
    </row>
    <row r="348" spans="1:15" x14ac:dyDescent="0.2">
      <c r="A348" s="20" t="s">
        <v>1027</v>
      </c>
      <c r="B348" s="20" t="s">
        <v>1028</v>
      </c>
      <c r="C348" s="20" t="s">
        <v>367</v>
      </c>
      <c r="D348" s="20">
        <v>999</v>
      </c>
      <c r="E348" s="20">
        <v>27</v>
      </c>
      <c r="F348" s="20">
        <v>6.2355658198614314</v>
      </c>
      <c r="G348" s="20" t="s">
        <v>463</v>
      </c>
      <c r="H348" s="20">
        <v>1</v>
      </c>
      <c r="I348" s="20">
        <v>-0.58226184850206264</v>
      </c>
      <c r="J348" s="20">
        <v>-0.58226184850206264</v>
      </c>
      <c r="K348" s="20" t="s">
        <v>369</v>
      </c>
      <c r="L348" s="20" t="s">
        <v>370</v>
      </c>
      <c r="M348" s="20">
        <v>164</v>
      </c>
      <c r="N348" s="20" t="s">
        <v>365</v>
      </c>
      <c r="O348" s="20">
        <v>0.81737193763919824</v>
      </c>
    </row>
    <row r="349" spans="1:15" x14ac:dyDescent="0.2">
      <c r="A349" s="20" t="s">
        <v>1029</v>
      </c>
      <c r="B349" s="20" t="s">
        <v>1030</v>
      </c>
      <c r="C349" s="20" t="s">
        <v>367</v>
      </c>
      <c r="D349" s="20">
        <v>249</v>
      </c>
      <c r="E349" s="20">
        <v>25</v>
      </c>
      <c r="F349" s="20">
        <v>5.7736720554272516</v>
      </c>
      <c r="G349" s="20" t="s">
        <v>439</v>
      </c>
      <c r="H349" s="20"/>
      <c r="I349" s="20"/>
      <c r="J349" s="20">
        <v>-1.2244635497835541</v>
      </c>
      <c r="K349" s="20" t="s">
        <v>364</v>
      </c>
      <c r="L349" s="20" t="s">
        <v>363</v>
      </c>
      <c r="M349" s="20">
        <v>24</v>
      </c>
      <c r="N349" s="20" t="s">
        <v>365</v>
      </c>
      <c r="O349" s="20">
        <v>0.68376865671641796</v>
      </c>
    </row>
    <row r="350" spans="1:15" x14ac:dyDescent="0.2">
      <c r="A350" s="20" t="s">
        <v>1031</v>
      </c>
      <c r="B350" s="20" t="s">
        <v>1032</v>
      </c>
      <c r="C350" s="20" t="s">
        <v>367</v>
      </c>
      <c r="D350" s="20">
        <v>999</v>
      </c>
      <c r="E350" s="20">
        <v>24</v>
      </c>
      <c r="F350" s="20">
        <v>5.5427251732101617</v>
      </c>
      <c r="G350" s="20" t="s">
        <v>463</v>
      </c>
      <c r="H350" s="20"/>
      <c r="I350" s="20"/>
      <c r="J350" s="20">
        <v>-2.3697537837821541</v>
      </c>
      <c r="K350" s="20" t="s">
        <v>364</v>
      </c>
      <c r="L350" s="20" t="s">
        <v>363</v>
      </c>
      <c r="M350" s="20">
        <v>220.12375</v>
      </c>
      <c r="N350" s="20" t="s">
        <v>365</v>
      </c>
      <c r="O350" s="20">
        <v>0.83993182747807116</v>
      </c>
    </row>
    <row r="351" spans="1:15" x14ac:dyDescent="0.2">
      <c r="A351" s="20" t="s">
        <v>1033</v>
      </c>
      <c r="B351" s="20" t="s">
        <v>1034</v>
      </c>
      <c r="C351" s="20" t="s">
        <v>362</v>
      </c>
      <c r="D351" s="20">
        <v>5999</v>
      </c>
      <c r="E351" s="20">
        <v>94</v>
      </c>
      <c r="F351" s="20">
        <v>21.70900692840647</v>
      </c>
      <c r="G351" s="20" t="s">
        <v>549</v>
      </c>
      <c r="H351" s="20">
        <v>5</v>
      </c>
      <c r="I351" s="20">
        <v>-1.504740857521367</v>
      </c>
      <c r="J351" s="20">
        <v>-1.504740857521367</v>
      </c>
      <c r="K351" s="20" t="s">
        <v>369</v>
      </c>
      <c r="L351" s="20" t="s">
        <v>368</v>
      </c>
      <c r="M351" s="20">
        <v>2417.958666666666</v>
      </c>
      <c r="N351" s="20" t="s">
        <v>365</v>
      </c>
      <c r="O351" s="20">
        <v>0.49352424191936017</v>
      </c>
    </row>
    <row r="352" spans="1:15" x14ac:dyDescent="0.2">
      <c r="A352" s="20" t="s">
        <v>1035</v>
      </c>
      <c r="B352" s="20" t="s">
        <v>1036</v>
      </c>
      <c r="C352" s="20" t="s">
        <v>367</v>
      </c>
      <c r="D352" s="20"/>
      <c r="E352" s="20"/>
      <c r="F352" s="20"/>
      <c r="G352" s="20"/>
      <c r="H352" s="20"/>
      <c r="I352" s="20"/>
      <c r="J352" s="20">
        <v>-1.08034578285814</v>
      </c>
      <c r="K352" s="20" t="s">
        <v>414</v>
      </c>
      <c r="L352" s="20" t="s">
        <v>363</v>
      </c>
      <c r="M352" s="20">
        <v>130</v>
      </c>
      <c r="N352" s="20" t="s">
        <v>365</v>
      </c>
      <c r="O352" s="20">
        <v>0.79969183359013862</v>
      </c>
    </row>
    <row r="353" spans="1:15" x14ac:dyDescent="0.2">
      <c r="A353" s="20" t="s">
        <v>1037</v>
      </c>
      <c r="B353" s="20" t="s">
        <v>1038</v>
      </c>
      <c r="C353" s="20" t="s">
        <v>367</v>
      </c>
      <c r="D353" s="20">
        <v>650</v>
      </c>
      <c r="E353" s="20">
        <v>16</v>
      </c>
      <c r="F353" s="20">
        <v>3.695150115473441</v>
      </c>
      <c r="G353" s="20" t="s">
        <v>463</v>
      </c>
      <c r="H353" s="20"/>
      <c r="I353" s="20"/>
      <c r="J353" s="20">
        <v>-2.3697537837821541</v>
      </c>
      <c r="K353" s="20" t="s">
        <v>364</v>
      </c>
      <c r="L353" s="20" t="s">
        <v>363</v>
      </c>
      <c r="M353" s="20">
        <v>195</v>
      </c>
      <c r="N353" s="20" t="s">
        <v>373</v>
      </c>
      <c r="O353" s="20"/>
    </row>
    <row r="354" spans="1:15" x14ac:dyDescent="0.2">
      <c r="A354" s="20" t="s">
        <v>1039</v>
      </c>
      <c r="B354" s="20" t="s">
        <v>1040</v>
      </c>
      <c r="C354" s="20" t="s">
        <v>367</v>
      </c>
      <c r="D354" s="20">
        <v>800</v>
      </c>
      <c r="E354" s="20">
        <v>25</v>
      </c>
      <c r="F354" s="20">
        <v>5.7736720554272516</v>
      </c>
      <c r="G354" s="20" t="s">
        <v>463</v>
      </c>
      <c r="H354" s="20"/>
      <c r="I354" s="20"/>
      <c r="J354" s="20">
        <v>-2.3697537837821541</v>
      </c>
      <c r="K354" s="20" t="s">
        <v>364</v>
      </c>
      <c r="L354" s="20" t="s">
        <v>363</v>
      </c>
      <c r="M354" s="20">
        <v>160</v>
      </c>
      <c r="N354" s="20" t="s">
        <v>365</v>
      </c>
      <c r="O354" s="20">
        <v>0.77369165487977365</v>
      </c>
    </row>
    <row r="355" spans="1:15" x14ac:dyDescent="0.2">
      <c r="A355" s="20" t="s">
        <v>1041</v>
      </c>
      <c r="B355" s="20" t="s">
        <v>1042</v>
      </c>
      <c r="C355" s="20" t="s">
        <v>367</v>
      </c>
      <c r="D355" s="20"/>
      <c r="E355" s="20"/>
      <c r="F355" s="20"/>
      <c r="G355" s="20"/>
      <c r="H355" s="20"/>
      <c r="I355" s="20"/>
      <c r="J355" s="20">
        <v>-1.08034578285814</v>
      </c>
      <c r="K355" s="20" t="s">
        <v>414</v>
      </c>
      <c r="L355" s="20" t="s">
        <v>363</v>
      </c>
      <c r="M355" s="20">
        <v>2000.73</v>
      </c>
      <c r="N355" s="20" t="s">
        <v>365</v>
      </c>
      <c r="O355" s="20">
        <v>0.56105089951733222</v>
      </c>
    </row>
    <row r="356" spans="1:15" x14ac:dyDescent="0.2">
      <c r="A356" s="20" t="s">
        <v>1043</v>
      </c>
      <c r="B356" s="20" t="s">
        <v>1044</v>
      </c>
      <c r="C356" s="20" t="s">
        <v>362</v>
      </c>
      <c r="D356" s="20"/>
      <c r="E356" s="20"/>
      <c r="F356" s="20"/>
      <c r="G356" s="20"/>
      <c r="H356" s="20"/>
      <c r="I356" s="20"/>
      <c r="J356" s="20">
        <v>-1.384113661892663</v>
      </c>
      <c r="K356" s="20" t="s">
        <v>414</v>
      </c>
      <c r="L356" s="20" t="s">
        <v>363</v>
      </c>
      <c r="M356" s="20"/>
      <c r="N356" s="20" t="s">
        <v>373</v>
      </c>
      <c r="O356" s="20"/>
    </row>
    <row r="357" spans="1:15" x14ac:dyDescent="0.2">
      <c r="A357" s="20" t="s">
        <v>1045</v>
      </c>
      <c r="B357" s="20" t="s">
        <v>1046</v>
      </c>
      <c r="C357" s="20" t="s">
        <v>362</v>
      </c>
      <c r="D357" s="20"/>
      <c r="E357" s="20"/>
      <c r="F357" s="20"/>
      <c r="G357" s="20"/>
      <c r="H357" s="20"/>
      <c r="I357" s="20"/>
      <c r="J357" s="20">
        <v>-1.384113661892663</v>
      </c>
      <c r="K357" s="20" t="s">
        <v>414</v>
      </c>
      <c r="L357" s="20" t="s">
        <v>363</v>
      </c>
      <c r="M357" s="20"/>
      <c r="N357" s="20" t="s">
        <v>373</v>
      </c>
      <c r="O357" s="20"/>
    </row>
    <row r="358" spans="1:15" x14ac:dyDescent="0.2">
      <c r="A358" s="20" t="s">
        <v>1047</v>
      </c>
      <c r="B358" s="20" t="s">
        <v>1048</v>
      </c>
      <c r="C358" s="20" t="s">
        <v>362</v>
      </c>
      <c r="D358" s="20"/>
      <c r="E358" s="20"/>
      <c r="F358" s="20"/>
      <c r="G358" s="20"/>
      <c r="H358" s="20"/>
      <c r="I358" s="20"/>
      <c r="J358" s="20">
        <v>-1.384113661892663</v>
      </c>
      <c r="K358" s="20" t="s">
        <v>414</v>
      </c>
      <c r="L358" s="20" t="s">
        <v>363</v>
      </c>
      <c r="M358" s="20"/>
      <c r="N358" s="20" t="s">
        <v>373</v>
      </c>
      <c r="O358" s="20"/>
    </row>
    <row r="359" spans="1:15" x14ac:dyDescent="0.2">
      <c r="A359" s="20" t="s">
        <v>1049</v>
      </c>
      <c r="B359" s="20" t="s">
        <v>1050</v>
      </c>
      <c r="C359" s="20" t="s">
        <v>362</v>
      </c>
      <c r="D359" s="20">
        <v>500</v>
      </c>
      <c r="E359" s="20">
        <v>52</v>
      </c>
      <c r="F359" s="20">
        <v>12.009237875288679</v>
      </c>
      <c r="G359" s="20" t="s">
        <v>409</v>
      </c>
      <c r="H359" s="20"/>
      <c r="I359" s="20"/>
      <c r="J359" s="20">
        <v>-0.79078567053692428</v>
      </c>
      <c r="K359" s="20" t="s">
        <v>364</v>
      </c>
      <c r="L359" s="20" t="s">
        <v>363</v>
      </c>
      <c r="M359" s="20">
        <v>138.05000000000001</v>
      </c>
      <c r="N359" s="20" t="s">
        <v>365</v>
      </c>
      <c r="O359" s="20">
        <v>0.57354969574036507</v>
      </c>
    </row>
    <row r="360" spans="1:15" x14ac:dyDescent="0.2">
      <c r="A360" s="20" t="s">
        <v>1051</v>
      </c>
      <c r="B360" s="20" t="s">
        <v>1052</v>
      </c>
      <c r="C360" s="20" t="s">
        <v>362</v>
      </c>
      <c r="D360" s="20">
        <v>2599</v>
      </c>
      <c r="E360" s="20">
        <v>114</v>
      </c>
      <c r="F360" s="20">
        <v>26.327944572748269</v>
      </c>
      <c r="G360" s="20" t="s">
        <v>549</v>
      </c>
      <c r="H360" s="20"/>
      <c r="I360" s="20"/>
      <c r="J360" s="20">
        <v>-1.504740857521367</v>
      </c>
      <c r="K360" s="20" t="s">
        <v>364</v>
      </c>
      <c r="L360" s="20" t="s">
        <v>363</v>
      </c>
      <c r="M360" s="20">
        <v>915.75</v>
      </c>
      <c r="N360" s="20" t="s">
        <v>365</v>
      </c>
      <c r="O360" s="20">
        <v>0.48007040876197932</v>
      </c>
    </row>
    <row r="361" spans="1:15" x14ac:dyDescent="0.2">
      <c r="A361" s="20" t="s">
        <v>1053</v>
      </c>
      <c r="B361" s="20" t="s">
        <v>1054</v>
      </c>
      <c r="C361" s="20" t="s">
        <v>362</v>
      </c>
      <c r="D361" s="20">
        <v>3199</v>
      </c>
      <c r="E361" s="20">
        <v>28</v>
      </c>
      <c r="F361" s="20">
        <v>6.4665127020785222</v>
      </c>
      <c r="G361" s="20" t="s">
        <v>549</v>
      </c>
      <c r="H361" s="20"/>
      <c r="I361" s="20"/>
      <c r="J361" s="20">
        <v>-1.504740857521367</v>
      </c>
      <c r="K361" s="20" t="s">
        <v>364</v>
      </c>
      <c r="L361" s="20" t="s">
        <v>363</v>
      </c>
      <c r="M361" s="20">
        <v>1101.72</v>
      </c>
      <c r="N361" s="20" t="s">
        <v>365</v>
      </c>
      <c r="O361" s="20">
        <v>0.40825158210760498</v>
      </c>
    </row>
    <row r="362" spans="1:15" x14ac:dyDescent="0.2">
      <c r="A362" s="20" t="s">
        <v>1055</v>
      </c>
      <c r="B362" s="20" t="s">
        <v>1056</v>
      </c>
      <c r="C362" s="20" t="s">
        <v>362</v>
      </c>
      <c r="D362" s="20">
        <v>650</v>
      </c>
      <c r="E362" s="20">
        <v>12</v>
      </c>
      <c r="F362" s="20">
        <v>2.7713625866050808</v>
      </c>
      <c r="G362" s="20" t="s">
        <v>463</v>
      </c>
      <c r="H362" s="20"/>
      <c r="I362" s="20"/>
      <c r="J362" s="20">
        <v>-2.6197664336783242</v>
      </c>
      <c r="K362" s="20" t="s">
        <v>364</v>
      </c>
      <c r="L362" s="20" t="s">
        <v>363</v>
      </c>
      <c r="M362" s="20">
        <v>209.2</v>
      </c>
      <c r="N362" s="20" t="s">
        <v>365</v>
      </c>
      <c r="O362" s="20">
        <v>0.65191347753743756</v>
      </c>
    </row>
    <row r="363" spans="1:15" x14ac:dyDescent="0.2">
      <c r="A363" s="20" t="s">
        <v>1057</v>
      </c>
      <c r="B363" s="20" t="s">
        <v>1058</v>
      </c>
      <c r="C363" s="20" t="s">
        <v>362</v>
      </c>
      <c r="D363" s="20"/>
      <c r="E363" s="20"/>
      <c r="F363" s="20"/>
      <c r="G363" s="20"/>
      <c r="H363" s="20"/>
      <c r="I363" s="20"/>
      <c r="J363" s="20">
        <v>-1.384113661892663</v>
      </c>
      <c r="K363" s="20" t="s">
        <v>414</v>
      </c>
      <c r="L363" s="20" t="s">
        <v>363</v>
      </c>
      <c r="M363" s="20"/>
      <c r="N363" s="20" t="s">
        <v>373</v>
      </c>
      <c r="O363" s="20"/>
    </row>
    <row r="364" spans="1:15" x14ac:dyDescent="0.2">
      <c r="A364" s="20" t="s">
        <v>1059</v>
      </c>
      <c r="B364" s="20" t="s">
        <v>1060</v>
      </c>
      <c r="C364" s="20" t="s">
        <v>362</v>
      </c>
      <c r="D364" s="20"/>
      <c r="E364" s="20"/>
      <c r="F364" s="20"/>
      <c r="G364" s="20"/>
      <c r="H364" s="20"/>
      <c r="I364" s="20"/>
      <c r="J364" s="20">
        <v>-1.384113661892663</v>
      </c>
      <c r="K364" s="20" t="s">
        <v>414</v>
      </c>
      <c r="L364" s="20" t="s">
        <v>363</v>
      </c>
      <c r="M364" s="20"/>
      <c r="N364" s="20" t="s">
        <v>373</v>
      </c>
      <c r="O364" s="20"/>
    </row>
    <row r="365" spans="1:15" x14ac:dyDescent="0.2">
      <c r="A365" s="20" t="s">
        <v>1061</v>
      </c>
      <c r="B365" s="20" t="s">
        <v>1062</v>
      </c>
      <c r="C365" s="20" t="s">
        <v>362</v>
      </c>
      <c r="D365" s="20"/>
      <c r="E365" s="20"/>
      <c r="F365" s="20"/>
      <c r="G365" s="20"/>
      <c r="H365" s="20"/>
      <c r="I365" s="20"/>
      <c r="J365" s="20">
        <v>-1.384113661892663</v>
      </c>
      <c r="K365" s="20" t="s">
        <v>414</v>
      </c>
      <c r="L365" s="20" t="s">
        <v>363</v>
      </c>
      <c r="M365" s="20"/>
      <c r="N365" s="20" t="s">
        <v>373</v>
      </c>
      <c r="O365" s="20"/>
    </row>
    <row r="366" spans="1:15" x14ac:dyDescent="0.2">
      <c r="A366" s="20" t="s">
        <v>1063</v>
      </c>
      <c r="B366" s="20" t="s">
        <v>1064</v>
      </c>
      <c r="C366" s="20" t="s">
        <v>362</v>
      </c>
      <c r="D366" s="20">
        <v>499</v>
      </c>
      <c r="E366" s="20">
        <v>29</v>
      </c>
      <c r="F366" s="20">
        <v>6.6974595842956122</v>
      </c>
      <c r="G366" s="20" t="s">
        <v>409</v>
      </c>
      <c r="H366" s="20"/>
      <c r="I366" s="20"/>
      <c r="J366" s="20">
        <v>-0.79078567053692428</v>
      </c>
      <c r="K366" s="20" t="s">
        <v>364</v>
      </c>
      <c r="L366" s="20" t="s">
        <v>363</v>
      </c>
      <c r="M366" s="20">
        <v>18.93</v>
      </c>
      <c r="N366" s="20" t="s">
        <v>365</v>
      </c>
      <c r="O366" s="20">
        <v>-1.007727272727273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Master Action List</vt:lpstr>
      <vt:lpstr>Customer &amp; Coupon Analysis</vt:lpstr>
      <vt:lpstr>Coupon Rules &amp; Definitions</vt:lpstr>
      <vt:lpstr>Price-Coupon Stacking Risk</vt:lpstr>
      <vt:lpstr>VIP Gold ASP Strategy</vt:lpstr>
      <vt:lpstr>Price - Action List</vt:lpstr>
      <vt:lpstr>DoD Cadence Tracker</vt:lpstr>
      <vt:lpstr>Appendix - Price Full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Corporate Sales1</cp:lastModifiedBy>
  <dcterms:created xsi:type="dcterms:W3CDTF">2026-08-18T08:38:22Z</dcterms:created>
  <dcterms:modified xsi:type="dcterms:W3CDTF">2026-08-21T08:07:33Z</dcterms:modified>
</cp:coreProperties>
</file>