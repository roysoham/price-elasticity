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ohamroy/Documents/work/GM Improvement/"/>
    </mc:Choice>
  </mc:AlternateContent>
  <xr:revisionPtr revIDLastSave="0" documentId="13_ncr:1_{1D66CE12-8ECE-3A48-A3D5-A4C323298C80}" xr6:coauthVersionLast="47" xr6:coauthVersionMax="47" xr10:uidLastSave="{00000000-0000-0000-0000-000000000000}"/>
  <bookViews>
    <workbookView xWindow="0" yWindow="600" windowWidth="28800" windowHeight="16160" activeTab="2" xr2:uid="{00000000-000D-0000-FFFF-FFFF00000000}"/>
  </bookViews>
  <sheets>
    <sheet name="ASP Action Plan" sheetId="1" r:id="rId1"/>
    <sheet name="18AG" sheetId="2" r:id="rId2"/>
    <sheet name="20AG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2" l="1"/>
  <c r="C83" i="2"/>
  <c r="C87" i="2"/>
</calcChain>
</file>

<file path=xl/sharedStrings.xml><?xml version="1.0" encoding="utf-8"?>
<sst xmlns="http://schemas.openxmlformats.org/spreadsheetml/2006/main" count="376" uniqueCount="329">
  <si>
    <t>ASP Action Plan -- Redcliffe Labs</t>
  </si>
  <si>
    <t>Generated 2026-08-18 | Source: online_discount_summary_raw_Aug17MTD.xlsx (Aug 1-16 clean window, 51,701 bookings) + competitor pricing file + coupon CRM settings. No new price/MoM data this cycle.</t>
  </si>
  <si>
    <t>1. PRICE RECOMMENDATIONS -- sensitivity + competitor confirmed (5 tests, not 39 -- highest-confidence only)</t>
  </si>
  <si>
    <t>Test</t>
  </si>
  <si>
    <t>Current Price (Rs)</t>
  </si>
  <si>
    <t>Recommended Price (Rs)</t>
  </si>
  <si>
    <t>Action</t>
  </si>
  <si>
    <t>Why (Confidence)</t>
  </si>
  <si>
    <t>Impact -- Weekly GM (Rs)</t>
  </si>
  <si>
    <t>Impact -- ASP</t>
  </si>
  <si>
    <t>Owner</t>
  </si>
  <si>
    <t>HBA1C Test</t>
  </si>
  <si>
    <t>+9.2%</t>
  </si>
  <si>
    <t>Elasticity Tier A (measured) + competitor headroom both confirm raise</t>
  </si>
  <si>
    <t>Thyroid Profile Total</t>
  </si>
  <si>
    <t>+11.1%</t>
  </si>
  <si>
    <t>Elasticity Tier B + competitor headroom both confirm raise</t>
  </si>
  <si>
    <t>Liver Function Test (LFT)</t>
  </si>
  <si>
    <t>+10.2%</t>
  </si>
  <si>
    <t>Elasticity ambiguous internally -- competitor headroom resolves it (Redcliffe well below Tata/Dr Lal); conservative estimate assumes flat volume</t>
  </si>
  <si>
    <t>+10.2%*</t>
  </si>
  <si>
    <t>Kidney Function Test (KFT)</t>
  </si>
  <si>
    <t>+11.4%</t>
  </si>
  <si>
    <t>Same as LFT -- competitor-confirmed, conservative flat-volume estimate</t>
  </si>
  <si>
    <t>+11.4%*</t>
  </si>
  <si>
    <t>TSH, Ultrasensitive</t>
  </si>
  <si>
    <t>+13.7%</t>
  </si>
  <si>
    <t>Elasticity inelastic-leaning (Tier A) + competitor headroom confirm raise</t>
  </si>
  <si>
    <t>+13.7%*</t>
  </si>
  <si>
    <t>* Flat-volume conservative estimate (elasticity read unreliable for these 3 -- actual GM upside likely higher if demand holds as expected for staple diagnostic tests)</t>
  </si>
  <si>
    <t>TOTAL projected weekly GM impact, these 5 tests:</t>
  </si>
  <si>
    <t>HELD BACK (do not action this cycle): Ferritin, Magnesium, Homocysteine, Amylase -- team's competitor file recommends raising these, but Healthians already prices meaningfully BELOW Redcliffe on these specific tests (e.g. Ferritin: Healthians Rs 235 vs Redcliffe's proposed Rs 525). Raising here risks losing price-sensitive share to the one competitor already undercutting us. Needs a Healthians-specific check before any move.</t>
  </si>
  <si>
    <t>2. CUSTOMER LEARNINGS &amp; NUDGE ACTIONS -- fresh/repeat, AOV, city</t>
  </si>
  <si>
    <t>Insight</t>
  </si>
  <si>
    <t>Nudge Action</t>
  </si>
  <si>
    <t>Priority City(s)</t>
  </si>
  <si>
    <t>Execution Ease</t>
  </si>
  <si>
    <t>Impact</t>
  </si>
  <si>
    <t>VIP Gold Fresh AOV (Rs 4,653) is 2.9x Repeat AOV (Rs 1,614) -- and fresh share is shrinking (30.8%-&gt;25.7% over 11 weeks). Blended VIP Gold ASP mechanically drags down as mix shifts toward the low-value repeat cohort.</t>
  </si>
  <si>
    <t>In-app/CRM nudge on repeat VIP-Gold bookings to add a family member (ADDFAMILY-style, already proven to lift basket size to 2-4x members with a capped, controlled discount -- see Section 4)</t>
  </si>
  <si>
    <t>Ghaziabad (6.8x gap), Mumbai (3.9x), Bangalore (2.8x)</t>
  </si>
  <si>
    <t>EASY -- existing mechanic, just needs targeted nudge/CRM trigger, no new pricing or system build</t>
  </si>
  <si>
    <t>Directional: closing even 20% of the fresh-repeat AOV gap in these 3 cities moves blended VIP Gold ASP measurably -- size properly once nudge is live and first-week data comes back</t>
  </si>
  <si>
    <t>Gurugram's overall Fresh AOV (Rs 2,719) runs 40-70% above every other top-10 city (Rs 1,587-1,928 range) -- an outlier worth understanding before assuming it's noise.</t>
  </si>
  <si>
    <t>Investigate what's different in Gurugram (package mix, catchment income, channel mix) -- replicate if it's a repeatable pattern, not a one-off.</t>
  </si>
  <si>
    <t>Gurugram (source), test in 1-2 similar-profile cities after diagnosis</t>
  </si>
  <si>
    <t>MEDIUM -- needs a diagnosis step before any action</t>
  </si>
  <si>
    <t>Unknown until diagnosed -- flagged as next investigation, not sized yet</t>
  </si>
  <si>
    <t>3. THIS CYCLE'S EXECUTION LIST -- the few pkg/test to action now</t>
  </si>
  <si>
    <t>#</t>
  </si>
  <si>
    <t>Target Date</t>
  </si>
  <si>
    <t>Move price +9.2%</t>
  </si>
  <si>
    <t>Move price +11.1%</t>
  </si>
  <si>
    <t>Move price +10.2%</t>
  </si>
  <si>
    <t>Move price +11.4%</t>
  </si>
  <si>
    <t>Move price +13.7%</t>
  </si>
  <si>
    <t>4. COUPON CEILINGS &amp; CONTROLS</t>
  </si>
  <si>
    <t>Control</t>
  </si>
  <si>
    <t>Finding</t>
  </si>
  <si>
    <t>Depth ceiling</t>
  </si>
  <si>
    <t>Real GM% holds up through ~20% coupon depth (82%-&gt;77%-&gt;71%), degrades steadily beyond it, only collapses meaningfully at 40%+ (43% GM, mostly FREEDOM50).</t>
  </si>
  <si>
    <t>Set 20% as the standard depth ceiling for new/renewed campaigns. FREEDOM50 (42% depth, 47.9% GM) is below-average but not urgent -- optimize when convenient, not this cycle.</t>
  </si>
  <si>
    <t>Directional margin protection, not a one-time number</t>
  </si>
  <si>
    <t>Price x coupon stacking risk</t>
  </si>
  <si>
    <t>4 packages flagged for a price increase are ALSO heavily discounted via coupon -- PL124I, PL334, PL203, PL91. All 4 are driven by the SAME coupon: SAVEBIGGER20.</t>
  </si>
  <si>
    <t>Review/cap SAVEBIGGER20 eligibility on these 4 specific SKUs before executing their price moves -- single targeted fix, not a policy overhaul.</t>
  </si>
  <si>
    <t>Protects the Section 1 price-increase GM from being eroded by concurrent coupon stacking</t>
  </si>
  <si>
    <t>ADDFAMILY caps</t>
  </si>
  <si>
    <t>Verified working exactly as designed: 2-member=20.2% avg discount, 3-member=25.1%, 4-member=30.1% -- matches your stated 20/25/30% caps almost exactly.</t>
  </si>
  <si>
    <t>No action needed -- monitor only.</t>
  </si>
  <si>
    <t>N/A -- confirmed healthy</t>
  </si>
  <si>
    <t>MOV compliance</t>
  </si>
  <si>
    <t>SAVEBIG20: 20% of bookings priced below its own Rs 1,499 MOV. SAVEBIG15: 15% below its Rs 799 MOV.</t>
  </si>
  <si>
    <t>Flag to whoever owns cart/coupon logic for a cart-level check (package price alone isn't proof of a real breach) -- investigation item, not yet an action.</t>
  </si>
  <si>
    <t>Unconfirmed -- resolve before sizing</t>
  </si>
  <si>
    <t xml:space="preserve">    "Self (App/Web Direct) : ₹30.77M (35.8%)" : 30.77</t>
  </si>
  <si>
    <t xml:space="preserve">    "Phlebo (Doorstep Upsell) : ₹12.66M (14.7%)" : 12.66</t>
  </si>
  <si>
    <t>1. Daily DoD Overall Performance (Aug 1 – Aug 17, 2026)</t>
  </si>
  <si>
    <t>DoD Metrics Table</t>
  </si>
  <si>
    <t>(Clean Window: Aug 1–16 full days; Aug 17 is a partial day cut off at 898 bookings)</t>
  </si>
  <si>
    <t>Date</t>
  </si>
  <si>
    <t>Bookings</t>
  </si>
  <si>
    <t>Net Revenue (₹)</t>
  </si>
  <si>
    <t>Gross Margin (₹)</t>
  </si>
  <si>
    <t>GM %</t>
  </si>
  <si>
    <t>Net ASP (₹)</t>
  </si>
  <si>
    <t>Offer ASP (₹)</t>
  </si>
  <si>
    <t>Total Disc %</t>
  </si>
  <si>
    <t>Avg Members</t>
  </si>
  <si>
    <t>Fresh %</t>
  </si>
  <si>
    <t>VIP Gold %</t>
  </si>
  <si>
    <t>Coupon Pen %</t>
  </si>
  <si>
    <t>17-Aug (part)</t>
  </si>
  <si>
    <t>DoD Key Insights</t>
  </si>
  <si>
    <t>Sundays experience a sharp volume drop (Aug 2: 3,066; Aug 9: 3,219; Aug 16: 2,745).</t>
  </si>
  <si>
    <t>2. Customer Cohort &amp; Category Matrix Analysis (Aug 1–16 Clean Window)</t>
  </si>
  <si>
    <t>Share (%)</t>
  </si>
  <si>
    <t>Avg Disc %</t>
  </si>
  <si>
    <t>VIP Pen %</t>
  </si>
  <si>
    <t>Self Channel %</t>
  </si>
  <si>
    <t>Repeat — VIP Gold</t>
  </si>
  <si>
    <t>Fresh — Regular</t>
  </si>
  <si>
    <t>Repeat — VIP</t>
  </si>
  <si>
    <t>Repeat — Regular</t>
  </si>
  <si>
    <t>Fresh — VIP</t>
  </si>
  <si>
    <t>Fresh — VIP Gold</t>
  </si>
  <si>
    <t>Segment Insights</t>
  </si>
  <si>
    <t>Channel</t>
  </si>
  <si>
    <t>Sales (Tele-Assisted)</t>
  </si>
  <si>
    <t>Self (App/Web Direct)</t>
  </si>
  <si>
    <t>Phlebo (Doorstep Upsell)</t>
  </si>
  <si>
    <t>⚠️ Failed to render Mermaid diagram: Invalid mermaid header: "pie title Revenue Share by Channel (Aug 1-16)". Expected "graph TD", "flowchart LR", "stateDiagram-v2", etc.. Supported types: flowchart/graph, stateDiagram-v2, sequenceDiagram, classDiagram, erDiagram, xychart-beta.</t>
  </si>
  <si>
    <t>pie title Revenue Share by Channel (Aug 1-16)</t>
  </si>
  <si>
    <t xml:space="preserve">    "Sales (Tele-Assisted) : ₹42.55M (49.5%)" : 42.55</t>
  </si>
  <si>
    <t>Channel Insights</t>
  </si>
  <si>
    <t>Metric 1</t>
  </si>
  <si>
    <t>Metric 2</t>
  </si>
  <si>
    <t>Business Interpretation</t>
  </si>
  <si>
    <t>fresh_pct</t>
  </si>
  <si>
    <t>net_asp</t>
  </si>
  <si>
    <t>avg_members</t>
  </si>
  <si>
    <t>bookings</t>
  </si>
  <si>
    <t>gm_pct</t>
  </si>
  <si>
    <t>−0.592−0.592</t>
  </si>
  <si>
    <t>−0.370−0.370</t>
  </si>
  <si>
    <t>vip_gold_pct</t>
  </si>
  <si>
    <t>−0.314−0.314</t>
  </si>
  <si>
    <t>coupon_pen_pct</t>
  </si>
  <si>
    <t>5. Regional / City-Level DoD Nuances (Top 12 Cities)</t>
  </si>
  <si>
    <t>City</t>
  </si>
  <si>
    <t>Delhi</t>
  </si>
  <si>
    <t>Mumbai</t>
  </si>
  <si>
    <t>Bangalore</t>
  </si>
  <si>
    <t>Pune</t>
  </si>
  <si>
    <t>Noida</t>
  </si>
  <si>
    <t>Pcmc</t>
  </si>
  <si>
    <t>Gurugram</t>
  </si>
  <si>
    <t>Secunderabad</t>
  </si>
  <si>
    <t>Ghaziabad</t>
  </si>
  <si>
    <t>Greater Noida</t>
  </si>
  <si>
    <t>Ahmedabad</t>
  </si>
  <si>
    <t>Lucknow</t>
  </si>
  <si>
    <t>City Insights</t>
  </si>
  <si>
    <t>6. Coupon Performance &amp; Basket Scaling (Aug 1–16)</t>
  </si>
  <si>
    <t>Coupon Code</t>
  </si>
  <si>
    <t>SAVEBIGGER20</t>
  </si>
  <si>
    <t>SAVEBIG15</t>
  </si>
  <si>
    <t>SAVEBIGGER22</t>
  </si>
  <si>
    <t>SAVEBIG20</t>
  </si>
  <si>
    <t>SAVEBIGGER25</t>
  </si>
  <si>
    <t>GAMBHIR20X</t>
  </si>
  <si>
    <t>ADDFAMILY2NYNNN</t>
  </si>
  <si>
    <t>ADDFAMILY3NYNNN</t>
  </si>
  <si>
    <t>FREEDOM50</t>
  </si>
  <si>
    <t>Coupon Insights</t>
  </si>
  <si>
    <t>7. Strategic Summary &amp; Articulated Actionable Insights</t>
  </si>
  <si>
    <t>Self-channel share drops from 87% on 2-member bookings to 42% on 4-member bookings. Streamlining multi-patient app UX will shift high-value family bookings from Tele-Sales (66.2% GM%) to Self-checkout (71.5% GM%).</t>
  </si>
  <si>
    <r>
      <t>Weekend Volume Surge vs. Mid-Week Stability</t>
    </r>
    <r>
      <rPr>
        <sz val="10"/>
        <rFont val="Helvetica Neue"/>
        <family val="2"/>
      </rPr>
      <t>:</t>
    </r>
  </si>
  <si>
    <r>
      <t>Volume peaks sharply every </t>
    </r>
    <r>
      <rPr>
        <b/>
        <sz val="10"/>
        <rFont val="Helvetica Neue"/>
        <family val="2"/>
      </rPr>
      <t>Saturday</t>
    </r>
    <r>
      <rPr>
        <sz val="10"/>
        <rFont val="Helvetica Neue"/>
        <family val="2"/>
      </rPr>
      <t> (Aug 1: 3,832 bookings; Aug 8: 3,883 bookings; Aug 15: 3,327 bookings), driving ~20–25% higher volume than weekday baselines (~3,100–3,250).</t>
    </r>
  </si>
  <si>
    <r>
      <t>Gross Margin Expansion Trajectory</t>
    </r>
    <r>
      <rPr>
        <sz val="10"/>
        <rFont val="Helvetica Neue"/>
        <family val="2"/>
      </rPr>
      <t>:</t>
    </r>
  </si>
  <si>
    <r>
      <t>Gross Margin % shows a clear upward trend across the month: starting at </t>
    </r>
    <r>
      <rPr>
        <b/>
        <sz val="10"/>
        <rFont val="Helvetica Neue"/>
        <family val="2"/>
      </rPr>
      <t>67.4% – 67.6%</t>
    </r>
    <r>
      <rPr>
        <sz val="10"/>
        <rFont val="Helvetica Neue"/>
        <family val="2"/>
      </rPr>
      <t> during Aug 1–7, expanding to </t>
    </r>
    <r>
      <rPr>
        <b/>
        <sz val="10"/>
        <rFont val="Helvetica Neue"/>
        <family val="2"/>
      </rPr>
      <t>70.1% – 70.4%</t>
    </r>
    <r>
      <rPr>
        <sz val="10"/>
        <rFont val="Helvetica Neue"/>
        <family val="2"/>
      </rPr>
      <t> during Aug 11–16.</t>
    </r>
  </si>
  <si>
    <r>
      <t>Discount Stability</t>
    </r>
    <r>
      <rPr>
        <sz val="10"/>
        <rFont val="Helvetica Neue"/>
        <family val="2"/>
      </rPr>
      <t>: Average total discount percentage remains exceptionally tightly bounded between </t>
    </r>
    <r>
      <rPr>
        <b/>
        <sz val="10"/>
        <rFont val="Helvetica Neue"/>
        <family val="2"/>
      </rPr>
      <t>15.7% and 17.6%</t>
    </r>
    <r>
      <rPr>
        <sz val="10"/>
        <rFont val="Helvetica Neue"/>
        <family val="2"/>
      </rPr>
      <t> across all full days.</t>
    </r>
  </si>
  <si>
    <r>
      <t>Segmenting the dataset across </t>
    </r>
    <r>
      <rPr>
        <b/>
        <sz val="10"/>
        <rFont val="Helvetica Neue"/>
        <family val="2"/>
      </rPr>
      <t>User Lifecycle (</t>
    </r>
    <r>
      <rPr>
        <b/>
        <sz val="10"/>
        <rFont val="Menlo"/>
        <family val="2"/>
      </rPr>
      <t>Fresh</t>
    </r>
    <r>
      <rPr>
        <b/>
        <sz val="10"/>
        <rFont val="Helvetica Neue"/>
        <family val="2"/>
      </rPr>
      <t> vs. </t>
    </r>
    <r>
      <rPr>
        <b/>
        <sz val="10"/>
        <rFont val="Menlo"/>
        <family val="2"/>
      </rPr>
      <t>Repeat</t>
    </r>
    <r>
      <rPr>
        <b/>
        <sz val="10"/>
        <rFont val="Helvetica Neue"/>
        <family val="2"/>
      </rPr>
      <t>)</t>
    </r>
    <r>
      <rPr>
        <sz val="10"/>
        <rFont val="Helvetica Neue"/>
        <family val="2"/>
      </rPr>
      <t> </t>
    </r>
    <r>
      <rPr>
        <sz val="10"/>
        <rFont val="Times New Roman"/>
        <family val="1"/>
      </rPr>
      <t>××</t>
    </r>
    <r>
      <rPr>
        <sz val="10"/>
        <rFont val="Helvetica Neue"/>
        <family val="2"/>
      </rPr>
      <t> </t>
    </r>
    <r>
      <rPr>
        <b/>
        <sz val="10"/>
        <rFont val="Helvetica Neue"/>
        <family val="2"/>
      </rPr>
      <t>Customer Category (</t>
    </r>
    <r>
      <rPr>
        <b/>
        <sz val="10"/>
        <rFont val="Menlo"/>
        <family val="2"/>
      </rPr>
      <t>Regular</t>
    </r>
    <r>
      <rPr>
        <b/>
        <sz val="10"/>
        <rFont val="Helvetica Neue"/>
        <family val="2"/>
      </rPr>
      <t>, </t>
    </r>
    <r>
      <rPr>
        <b/>
        <sz val="10"/>
        <rFont val="Menlo"/>
        <family val="2"/>
      </rPr>
      <t>VIP</t>
    </r>
    <r>
      <rPr>
        <b/>
        <sz val="10"/>
        <rFont val="Helvetica Neue"/>
        <family val="2"/>
      </rPr>
      <t>, </t>
    </r>
    <r>
      <rPr>
        <b/>
        <sz val="10"/>
        <rFont val="Menlo"/>
        <family val="2"/>
      </rPr>
      <t>VIP Gold</t>
    </r>
    <r>
      <rPr>
        <b/>
        <sz val="10"/>
        <rFont val="Helvetica Neue"/>
        <family val="2"/>
      </rPr>
      <t>)</t>
    </r>
    <r>
      <rPr>
        <sz val="10"/>
        <rFont val="Helvetica Neue"/>
        <family val="2"/>
      </rPr>
      <t>:</t>
    </r>
  </si>
  <si>
    <r>
      <t>Segment (Lifecycle </t>
    </r>
    <r>
      <rPr>
        <sz val="10"/>
        <rFont val="Times New Roman"/>
        <family val="1"/>
      </rPr>
      <t>××</t>
    </r>
    <r>
      <rPr>
        <sz val="10"/>
        <rFont val="Helvetica Neue"/>
        <family val="2"/>
      </rPr>
      <t> Tier)</t>
    </r>
  </si>
  <si>
    <r>
      <t>The ASP Divergence in VIP Gold</t>
    </r>
    <r>
      <rPr>
        <sz val="10"/>
        <rFont val="Helvetica Neue"/>
        <family val="2"/>
      </rPr>
      <t>:</t>
    </r>
  </si>
  <si>
    <r>
      <t>Fresh VIP Gold ASP (₹4,652.6)</t>
    </r>
    <r>
      <rPr>
        <sz val="10"/>
        <rFont val="Helvetica Neue"/>
        <family val="2"/>
      </rPr>
      <t> is </t>
    </r>
    <r>
      <rPr>
        <b/>
        <sz val="10"/>
        <rFont val="Helvetica Neue"/>
        <family val="2"/>
      </rPr>
      <t>2.88x higher</t>
    </r>
    <r>
      <rPr>
        <sz val="10"/>
        <rFont val="Helvetica Neue"/>
        <family val="2"/>
      </rPr>
      <t> than </t>
    </r>
    <r>
      <rPr>
        <b/>
        <sz val="10"/>
        <rFont val="Helvetica Neue"/>
        <family val="2"/>
      </rPr>
      <t>Repeat VIP Gold ASP (₹1,613.8)</t>
    </r>
    <r>
      <rPr>
        <sz val="10"/>
        <rFont val="Helvetica Neue"/>
        <family val="2"/>
      </rPr>
      <t>.</t>
    </r>
  </si>
  <si>
    <r>
      <t>Why?</t>
    </r>
    <r>
      <rPr>
        <sz val="10"/>
        <rFont val="Helvetica Neue"/>
        <family val="2"/>
      </rPr>
      <t> First-time VIP Gold buyers purchase high-value comprehensive health screening packages and multi-member family passes (avg 1.44 members). Once retained, repeat VIP Gold users book single routine monitoring tests (avg 1.21 members).</t>
    </r>
  </si>
  <si>
    <r>
      <t>Fresh Regular Dependence on Assisted Channels</t>
    </r>
    <r>
      <rPr>
        <sz val="10"/>
        <rFont val="Helvetica Neue"/>
        <family val="2"/>
      </rPr>
      <t>:</t>
    </r>
  </si>
  <si>
    <r>
      <t>Only </t>
    </r>
    <r>
      <rPr>
        <b/>
        <sz val="10"/>
        <rFont val="Helvetica Neue"/>
        <family val="2"/>
      </rPr>
      <t>20.3%</t>
    </r>
    <r>
      <rPr>
        <sz val="10"/>
        <rFont val="Helvetica Neue"/>
        <family val="2"/>
      </rPr>
      <t> of Fresh Regular acquisition comes directly via </t>
    </r>
    <r>
      <rPr>
        <sz val="10"/>
        <rFont val="Menlo"/>
        <family val="2"/>
      </rPr>
      <t>Self</t>
    </r>
    <r>
      <rPr>
        <sz val="10"/>
        <rFont val="Helvetica Neue"/>
        <family val="2"/>
      </rPr>
      <t> (App/Web). </t>
    </r>
    <r>
      <rPr>
        <b/>
        <sz val="10"/>
        <rFont val="Helvetica Neue"/>
        <family val="2"/>
      </rPr>
      <t>79.7%</t>
    </r>
    <r>
      <rPr>
        <sz val="10"/>
        <rFont val="Helvetica Neue"/>
        <family val="2"/>
      </rPr>
      <t> is converted via Tele-Sales and Phlebo doorstep assistance.</t>
    </r>
  </si>
  <si>
    <r>
      <t>Fresh Regular users have the highest coupon penetration (</t>
    </r>
    <r>
      <rPr>
        <b/>
        <sz val="10"/>
        <rFont val="Helvetica Neue"/>
        <family val="2"/>
      </rPr>
      <t>71.2%</t>
    </r>
    <r>
      <rPr>
        <sz val="10"/>
        <rFont val="Helvetica Neue"/>
        <family val="2"/>
      </rPr>
      <t>), showing that initial acquisition relies heavily on agent-pushed introductory coupons.</t>
    </r>
  </si>
  <si>
    <r>
      <t>Repeat Regular low ASP</t>
    </r>
    <r>
      <rPr>
        <sz val="10"/>
        <rFont val="Helvetica Neue"/>
        <family val="2"/>
      </rPr>
      <t>:</t>
    </r>
  </si>
  <si>
    <r>
      <t>Repeat Regular represents the lowest ASP segment in the business (</t>
    </r>
    <r>
      <rPr>
        <b/>
        <sz val="10"/>
        <rFont val="Helvetica Neue"/>
        <family val="2"/>
      </rPr>
      <t>₹1,391.1</t>
    </r>
    <r>
      <rPr>
        <sz val="10"/>
        <rFont val="Helvetica Neue"/>
        <family val="2"/>
      </rPr>
      <t>), booking standalone single-parameter tests without VIP subscription benefits or multi-member bundles.</t>
    </r>
  </si>
  <si>
    <r>
      <t>3. Channel Dynamics DoD (</t>
    </r>
    <r>
      <rPr>
        <sz val="10"/>
        <rFont val="Menlo"/>
        <family val="2"/>
      </rPr>
      <t>booked_by</t>
    </r>
    <r>
      <rPr>
        <sz val="10"/>
        <rFont val="Helvetica Neue"/>
        <family val="2"/>
      </rPr>
      <t>: Sales vs. Self vs. Phlebo)</t>
    </r>
  </si>
  <si>
    <r>
      <t>Sales Channel Drives Revenue &amp; ASP, but Lower GM%</t>
    </r>
    <r>
      <rPr>
        <sz val="10"/>
        <rFont val="Helvetica Neue"/>
        <family val="2"/>
      </rPr>
      <t>:</t>
    </r>
  </si>
  <si>
    <r>
      <t>Tele-Sales accounts for </t>
    </r>
    <r>
      <rPr>
        <b/>
        <sz val="10"/>
        <rFont val="Helvetica Neue"/>
        <family val="2"/>
      </rPr>
      <t>49.5% of total revenue</t>
    </r>
    <r>
      <rPr>
        <sz val="10"/>
        <rFont val="Helvetica Neue"/>
        <family val="2"/>
      </rPr>
      <t> and commands the highest ASP (</t>
    </r>
    <r>
      <rPr>
        <b/>
        <sz val="10"/>
        <rFont val="Helvetica Neue"/>
        <family val="2"/>
      </rPr>
      <t>₹1,924.6</t>
    </r>
    <r>
      <rPr>
        <sz val="10"/>
        <rFont val="Helvetica Neue"/>
        <family val="2"/>
      </rPr>
      <t>), as agents successfully cross-sell larger packages. However, sales agents rely heavily on coupons (69.9% coupon penetration), yielding a lower </t>
    </r>
    <r>
      <rPr>
        <b/>
        <sz val="10"/>
        <rFont val="Helvetica Neue"/>
        <family val="2"/>
      </rPr>
      <t>66.23% GM%</t>
    </r>
    <r>
      <rPr>
        <sz val="10"/>
        <rFont val="Helvetica Neue"/>
        <family val="2"/>
      </rPr>
      <t>.</t>
    </r>
  </si>
  <si>
    <r>
      <t>Self Channel Delivers Highest GM%</t>
    </r>
    <r>
      <rPr>
        <sz val="10"/>
        <rFont val="Helvetica Neue"/>
        <family val="2"/>
      </rPr>
      <t>:</t>
    </r>
  </si>
  <si>
    <r>
      <t>App/Web direct bookings yield the highest margin (</t>
    </r>
    <r>
      <rPr>
        <b/>
        <sz val="10"/>
        <rFont val="Helvetica Neue"/>
        <family val="2"/>
      </rPr>
      <t>71.54% GM%</t>
    </r>
    <r>
      <rPr>
        <sz val="10"/>
        <rFont val="Helvetica Neue"/>
        <family val="2"/>
      </rPr>
      <t>) and highest VIP Gold concentration (</t>
    </r>
    <r>
      <rPr>
        <b/>
        <sz val="10"/>
        <rFont val="Helvetica Neue"/>
        <family val="2"/>
      </rPr>
      <t>42.2%</t>
    </r>
    <r>
      <rPr>
        <sz val="10"/>
        <rFont val="Helvetica Neue"/>
        <family val="2"/>
      </rPr>
      <t>), but have a lower average basket size (</t>
    </r>
    <r>
      <rPr>
        <b/>
        <sz val="10"/>
        <rFont val="Helvetica Neue"/>
        <family val="2"/>
      </rPr>
      <t>₹1,465.5</t>
    </r>
    <r>
      <rPr>
        <sz val="10"/>
        <rFont val="Helvetica Neue"/>
        <family val="2"/>
      </rPr>
      <t>).</t>
    </r>
  </si>
  <si>
    <r>
      <t>Phlebo Doorstep Channel</t>
    </r>
    <r>
      <rPr>
        <sz val="10"/>
        <rFont val="Helvetica Neue"/>
        <family val="2"/>
      </rPr>
      <t>:</t>
    </r>
  </si>
  <si>
    <r>
      <t>Phlebotomists achieve high VIP Gold conversion (</t>
    </r>
    <r>
      <rPr>
        <b/>
        <sz val="10"/>
        <rFont val="Helvetica Neue"/>
        <family val="2"/>
      </rPr>
      <t>58.1% of bookings</t>
    </r>
    <r>
      <rPr>
        <sz val="10"/>
        <rFont val="Helvetica Neue"/>
        <family val="2"/>
      </rPr>
      <t>), maintaining a healthy </t>
    </r>
    <r>
      <rPr>
        <b/>
        <sz val="10"/>
        <rFont val="Helvetica Neue"/>
        <family val="2"/>
      </rPr>
      <t>71.07% GM%</t>
    </r>
    <r>
      <rPr>
        <sz val="10"/>
        <rFont val="Helvetica Neue"/>
        <family val="2"/>
      </rPr>
      <t>.</t>
    </r>
  </si>
  <si>
    <r>
      <t>4. Key Statistical Correlations (Daily Level </t>
    </r>
    <r>
      <rPr>
        <sz val="10"/>
        <rFont val="Times New Roman"/>
        <family val="1"/>
      </rPr>
      <t>r</t>
    </r>
    <r>
      <rPr>
        <i/>
        <sz val="10"/>
        <rFont val="KaTeX_Math"/>
      </rPr>
      <t>r</t>
    </r>
    <r>
      <rPr>
        <sz val="10"/>
        <rFont val="Helvetica Neue"/>
        <family val="2"/>
      </rPr>
      <t>, Aug 1–16)</t>
    </r>
  </si>
  <si>
    <r>
      <t>Computing Pearson correlation coefficients (</t>
    </r>
    <r>
      <rPr>
        <sz val="10"/>
        <rFont val="Times New Roman"/>
        <family val="1"/>
      </rPr>
      <t>r</t>
    </r>
    <r>
      <rPr>
        <i/>
        <sz val="10"/>
        <rFont val="KaTeX_Math"/>
      </rPr>
      <t>r</t>
    </r>
    <r>
      <rPr>
        <sz val="10"/>
        <rFont val="Helvetica Neue"/>
        <family val="2"/>
      </rPr>
      <t>) across daily aggregated metrics reveals core business mechanics:</t>
    </r>
  </si>
  <si>
    <r>
      <t>Correlation (</t>
    </r>
    <r>
      <rPr>
        <sz val="10"/>
        <rFont val="Times New Roman"/>
        <family val="1"/>
      </rPr>
      <t>r</t>
    </r>
    <r>
      <rPr>
        <i/>
        <sz val="10"/>
        <rFont val="KaTeX_Math"/>
      </rPr>
      <t>r</t>
    </r>
    <r>
      <rPr>
        <sz val="10"/>
        <rFont val="Helvetica Neue"/>
        <family val="2"/>
      </rPr>
      <t>)</t>
    </r>
  </si>
  <si>
    <r>
      <t>Strong Positive</t>
    </r>
    <r>
      <rPr>
        <sz val="10"/>
        <rFont val="Helvetica Neue"/>
        <family val="2"/>
      </rPr>
      <t>: Higher acquisition days directly drive higher ASP (Fresh users buy comprehensive initial health bundles).</t>
    </r>
  </si>
  <si>
    <r>
      <t>Strong Positive</t>
    </r>
    <r>
      <rPr>
        <sz val="10"/>
        <rFont val="Helvetica Neue"/>
        <family val="2"/>
      </rPr>
      <t>: Adding members per booking is the single most effective mechanic to expand transaction ASP.</t>
    </r>
  </si>
  <si>
    <r>
      <t>Moderate Negative</t>
    </r>
    <r>
      <rPr>
        <sz val="10"/>
        <rFont val="Helvetica Neue"/>
        <family val="2"/>
      </rPr>
      <t>: High-volume days (Saturdays) feature increased promotional coupon usage, slightly diluting daily GM%.</t>
    </r>
  </si>
  <si>
    <r>
      <t>Moderate Negative</t>
    </r>
    <r>
      <rPr>
        <sz val="10"/>
        <rFont val="Helvetica Neue"/>
        <family val="2"/>
      </rPr>
      <t>: Higher Fresh mix incurs higher introductory coupon penetration (71.2%), carrying slightly lower margin.</t>
    </r>
  </si>
  <si>
    <r>
      <t>Moderate Negative</t>
    </r>
    <r>
      <rPr>
        <sz val="10"/>
        <rFont val="Helvetica Neue"/>
        <family val="2"/>
      </rPr>
      <t>: Repeat VIP Gold users book low-value routine single tests (₹1,614 ASP), pulling down daily ASP when their volume share rises.</t>
    </r>
  </si>
  <si>
    <r>
      <t>Flat/Weak</t>
    </r>
    <r>
      <rPr>
        <sz val="10"/>
        <rFont val="Helvetica Neue"/>
        <family val="2"/>
      </rPr>
      <t>: Coupon usage alone does </t>
    </r>
    <r>
      <rPr>
        <i/>
        <sz val="10"/>
        <rFont val="Helvetica Neue"/>
        <family val="2"/>
      </rPr>
      <t>not</t>
    </r>
    <r>
      <rPr>
        <sz val="10"/>
        <rFont val="Helvetica Neue"/>
        <family val="2"/>
      </rPr>
      <t> degrade margin, because high-volume shallow coupons (</t>
    </r>
    <r>
      <rPr>
        <sz val="10"/>
        <rFont val="Menlo"/>
        <family val="2"/>
      </rPr>
      <t>SAVEBIG15</t>
    </r>
    <r>
      <rPr>
        <sz val="10"/>
        <rFont val="Helvetica Neue"/>
        <family val="2"/>
      </rPr>
      <t>, </t>
    </r>
    <r>
      <rPr>
        <sz val="10"/>
        <rFont val="Menlo"/>
        <family val="2"/>
      </rPr>
      <t>SAVEBIGGER20</t>
    </r>
    <r>
      <rPr>
        <sz val="10"/>
        <rFont val="Helvetica Neue"/>
        <family val="2"/>
      </rPr>
      <t>) preserve 70%+ GM%.</t>
    </r>
  </si>
  <si>
    <r>
      <t>Gurugram High ASP Leader</t>
    </r>
    <r>
      <rPr>
        <sz val="10"/>
        <rFont val="Helvetica Neue"/>
        <family val="2"/>
      </rPr>
      <t>: Gurugram commands the highest ASP among all major cities (</t>
    </r>
    <r>
      <rPr>
        <b/>
        <sz val="10"/>
        <rFont val="Helvetica Neue"/>
        <family val="2"/>
      </rPr>
      <t>₹1,978.2</t>
    </r>
    <r>
      <rPr>
        <sz val="10"/>
        <rFont val="Helvetica Neue"/>
        <family val="2"/>
      </rPr>
      <t> vs Delhi ₹1,592.7), driven by higher package tier selection.</t>
    </r>
  </si>
  <si>
    <r>
      <t>Mumbai VIP Gold Market</t>
    </r>
    <r>
      <rPr>
        <sz val="10"/>
        <rFont val="Helvetica Neue"/>
        <family val="2"/>
      </rPr>
      <t>: Mumbai leads in VIP Gold penetration (</t>
    </r>
    <r>
      <rPr>
        <b/>
        <sz val="10"/>
        <rFont val="Helvetica Neue"/>
        <family val="2"/>
      </rPr>
      <t>45.0%</t>
    </r>
    <r>
      <rPr>
        <sz val="10"/>
        <rFont val="Helvetica Neue"/>
        <family val="2"/>
      </rPr>
      <t>), generating high repeat retention.</t>
    </r>
  </si>
  <si>
    <r>
      <t>Ahmedabad High Acquisition</t>
    </r>
    <r>
      <rPr>
        <sz val="10"/>
        <rFont val="Helvetica Neue"/>
        <family val="2"/>
      </rPr>
      <t>: Ahmedabad leads top markets in Fresh customer share (</t>
    </r>
    <r>
      <rPr>
        <b/>
        <sz val="10"/>
        <rFont val="Helvetica Neue"/>
        <family val="2"/>
      </rPr>
      <t>37.0%</t>
    </r>
    <r>
      <rPr>
        <sz val="10"/>
        <rFont val="Helvetica Neue"/>
        <family val="2"/>
      </rPr>
      <t>), supported by 64.7% coupon penetration.</t>
    </r>
  </si>
  <si>
    <r>
      <t>The Workhorse Coupons</t>
    </r>
    <r>
      <rPr>
        <sz val="10"/>
        <rFont val="Helvetica Neue"/>
        <family val="2"/>
      </rPr>
      <t>: </t>
    </r>
    <r>
      <rPr>
        <sz val="10"/>
        <rFont val="Menlo"/>
        <family val="2"/>
      </rPr>
      <t>SAVEBIGGER20</t>
    </r>
    <r>
      <rPr>
        <sz val="10"/>
        <rFont val="Helvetica Neue"/>
        <family val="2"/>
      </rPr>
      <t> and </t>
    </r>
    <r>
      <rPr>
        <sz val="10"/>
        <rFont val="Menlo"/>
        <family val="2"/>
      </rPr>
      <t>SAVEBIG15</t>
    </r>
    <r>
      <rPr>
        <sz val="10"/>
        <rFont val="Helvetica Neue"/>
        <family val="2"/>
      </rPr>
      <t> drive 12,483 bookings while maintaining </t>
    </r>
    <r>
      <rPr>
        <b/>
        <sz val="10"/>
        <rFont val="Helvetica Neue"/>
        <family val="2"/>
      </rPr>
      <t>69.8% – 76.1% GM%</t>
    </r>
    <r>
      <rPr>
        <sz val="10"/>
        <rFont val="Helvetica Neue"/>
        <family val="2"/>
      </rPr>
      <t>.</t>
    </r>
  </si>
  <si>
    <r>
      <t>Multi-Member Basket Scaling</t>
    </r>
    <r>
      <rPr>
        <sz val="10"/>
        <rFont val="Helvetica Neue"/>
        <family val="2"/>
      </rPr>
      <t>: </t>
    </r>
    <r>
      <rPr>
        <sz val="10"/>
        <rFont val="Menlo"/>
        <family val="2"/>
      </rPr>
      <t>ADDFAMILY2NYNNN</t>
    </r>
    <r>
      <rPr>
        <sz val="10"/>
        <rFont val="Helvetica Neue"/>
        <family val="2"/>
      </rPr>
      <t> and </t>
    </r>
    <r>
      <rPr>
        <sz val="10"/>
        <rFont val="Menlo"/>
        <family val="2"/>
      </rPr>
      <t>ADDFAMILY3NYNNN</t>
    </r>
    <r>
      <rPr>
        <sz val="10"/>
        <rFont val="Helvetica Neue"/>
        <family val="2"/>
      </rPr>
      <t> scale member count cleanly to </t>
    </r>
    <r>
      <rPr>
        <b/>
        <sz val="10"/>
        <rFont val="Helvetica Neue"/>
        <family val="2"/>
      </rPr>
      <t>1.99</t>
    </r>
    <r>
      <rPr>
        <sz val="10"/>
        <rFont val="Helvetica Neue"/>
        <family val="2"/>
      </rPr>
      <t> and </t>
    </r>
    <r>
      <rPr>
        <b/>
        <sz val="10"/>
        <rFont val="Helvetica Neue"/>
        <family val="2"/>
      </rPr>
      <t>2.99</t>
    </r>
    <r>
      <rPr>
        <sz val="10"/>
        <rFont val="Helvetica Neue"/>
        <family val="2"/>
      </rPr>
      <t> members per booking, lifting ASP to </t>
    </r>
    <r>
      <rPr>
        <b/>
        <sz val="10"/>
        <rFont val="Helvetica Neue"/>
        <family val="2"/>
      </rPr>
      <t>₹2,682</t>
    </r>
    <r>
      <rPr>
        <sz val="10"/>
        <rFont val="Helvetica Neue"/>
        <family val="2"/>
      </rPr>
      <t> and </t>
    </r>
    <r>
      <rPr>
        <b/>
        <sz val="10"/>
        <rFont val="Helvetica Neue"/>
        <family val="2"/>
      </rPr>
      <t>₹3,777</t>
    </r>
    <r>
      <rPr>
        <sz val="10"/>
        <rFont val="Helvetica Neue"/>
        <family val="2"/>
      </rPr>
      <t> while respecting the 20% and 25% total discount caps.</t>
    </r>
  </si>
  <si>
    <r>
      <t>Leverage Fresh Customer ASP Advantage</t>
    </r>
    <r>
      <rPr>
        <sz val="10"/>
        <rFont val="Helvetica Neue"/>
        <family val="2"/>
      </rPr>
      <t>:</t>
    </r>
  </si>
  <si>
    <r>
      <t>Fresh acquisition drives higher ASP (</t>
    </r>
    <r>
      <rPr>
        <sz val="10"/>
        <rFont val="Times New Roman"/>
        <family val="1"/>
      </rPr>
      <t>r=+0.709</t>
    </r>
    <r>
      <rPr>
        <i/>
        <sz val="10"/>
        <rFont val="KaTeX_Math"/>
      </rPr>
      <t>r</t>
    </r>
    <r>
      <rPr>
        <sz val="10"/>
        <rFont val="Times New Roman"/>
        <family val="1"/>
      </rPr>
      <t>=+0.709</t>
    </r>
    <r>
      <rPr>
        <sz val="10"/>
        <rFont val="Helvetica Neue"/>
        <family val="2"/>
      </rPr>
      <t>). Marketing should focus on acquiring new households with multi-parameter screening packages rather than discounting single tests to existing users.</t>
    </r>
  </si>
  <si>
    <r>
      <t>Promote Family Add-on Mechanics to Retained VIP Gold Users</t>
    </r>
    <r>
      <rPr>
        <sz val="10"/>
        <rFont val="Helvetica Neue"/>
        <family val="2"/>
      </rPr>
      <t>:</t>
    </r>
  </si>
  <si>
    <r>
      <t>Repeat VIP Gold users have low ASP (₹1,614) and 1.21 members. Triggering </t>
    </r>
    <r>
      <rPr>
        <sz val="10"/>
        <rFont val="Menlo"/>
        <family val="2"/>
      </rPr>
      <t>ADDFAMILY</t>
    </r>
    <r>
      <rPr>
        <sz val="10"/>
        <rFont val="Helvetica Neue"/>
        <family val="2"/>
      </rPr>
      <t> nudges on repeat bookings will expand basket size to 2–3 members and increase ASP toward ₹2,600+ without margin loss.</t>
    </r>
  </si>
  <si>
    <r>
      <t>Fix App Checkout UX for Multi-Member Families</t>
    </r>
    <r>
      <rPr>
        <sz val="10"/>
        <rFont val="Helvetica Neue"/>
        <family val="2"/>
      </rPr>
      <t>:</t>
    </r>
  </si>
  <si>
    <t>Deep‑Dive Recommendations to Lift ASP (Average Selling Price)</t>
  </si>
  <si>
    <t>Lever (What)</t>
  </si>
  <si>
    <t>Why the data support it</t>
  </si>
  <si>
    <t>How to implement (Action)</t>
  </si>
  <si>
    <t>• VIP Gold → high willingness‑to‑pay but volume is tiny (146 bookings).</t>
  </si>
  <si>
    <t>• Pilot on top‑volume tests (HBA1C, Thyroid) and measure ASP lift vs. conversion loss (target ≤ 10 % drop).</t>
  </si>
  <si>
    <t>Dynamic City‑Level ASP Bench‑Marking</t>
  </si>
  <si>
    <t>Replace Deep‑Discount Coupons with “Credit‑Back” Loyalty Points</t>
  </si>
  <si>
    <t>Channel‑Shift Incentives: Move High‑ASP Segments to Self</t>
  </si>
  <si>
    <t>• Coupon penetration remains high on single‑test bookings (≈ 60 %).</t>
  </si>
  <si>
    <t>Targeted “Fresh‑to‑Repeat” Upsell Cadence</t>
  </si>
  <si>
    <t>Refine Coupon‑Depth Ceiling to 20 % for New Campaigns</t>
  </si>
  <si>
    <t>Capture Cart‑Level MOV and Enforce at Transaction</t>
  </si>
  <si>
    <t>Enrich Data for Price‑Elasticity‑Aware Modeling</t>
  </si>
  <si>
    <t>• Without this, price‑change risk assessments are noisy.</t>
  </si>
  <si>
    <t>Introduce “Tiered Loyalty Membership” for VIP Gold</t>
  </si>
  <si>
    <t>• VIP Gold Repeat users have low ASP (₹1,614) but high coupon usage.</t>
  </si>
  <si>
    <t>Leverage Regional “High‑ASP City Templates”</t>
  </si>
  <si>
    <t>– Adjust only for local competition (price‑headroom check).</t>
  </si>
  <si>
    <t>A/B Test Small‑Increment Price Nudges on Top 5 Price‑Increase Tests</t>
  </si>
  <si>
    <t>Introduce “Bundled‑Referral” Incentives</t>
  </si>
  <si>
    <t>– Encourages higher‑value referrals, directly boosting ASP.</t>
  </si>
  <si>
    <t>Optimize “Express Slot” Utilization</t>
  </si>
  <si>
    <t>• Express‑slot bookings have the highest GM % (≈ 71 %).</t>
  </si>
  <si>
    <t>– Target high‑ASP cities where customers are more willing to pay for speed.</t>
  </si>
  <si>
    <r>
      <t>Below are </t>
    </r>
    <r>
      <rPr>
        <b/>
        <sz val="14"/>
        <rFont val="Helvetica Neue"/>
        <family val="2"/>
      </rPr>
      <t>high‑impact, data‑backed levers</t>
    </r>
    <r>
      <rPr>
        <sz val="14"/>
        <rFont val="Helvetica Neue"/>
        <family val="2"/>
      </rPr>
      <t> that go beyond the earlier “fresh‑acquisition / family‑add‑on” ideas. Each lever is tied to a concrete pattern observed in the </t>
    </r>
    <r>
      <rPr>
        <b/>
        <sz val="14"/>
        <rFont val="Helvetica Neue"/>
        <family val="2"/>
      </rPr>
      <t>DoD booking summary</t>
    </r>
    <r>
      <rPr>
        <sz val="14"/>
        <rFont val="Helvetica Neue"/>
        <family val="2"/>
      </rPr>
      <t> (</t>
    </r>
    <r>
      <rPr>
        <sz val="9.9"/>
        <rFont val="Menlo"/>
        <family val="2"/>
      </rPr>
      <t>online_discount_summary__raw_Aug17MTD.xlsx</t>
    </r>
    <r>
      <rPr>
        <sz val="14"/>
        <rFont val="Helvetica Neue"/>
        <family val="2"/>
      </rPr>
      <t>) and to an operational change that can be rolled‑out with measurable ROI.</t>
    </r>
  </si>
  <si>
    <r>
      <t>Create Tier‑Based “Premium‑Plus” Packages</t>
    </r>
    <r>
      <rPr>
        <sz val="11"/>
        <rFont val="Helvetica Neue"/>
        <family val="2"/>
      </rPr>
      <t> (e.g., “Gold‑Plus Health‑Check”, “Executive Card”)</t>
    </r>
  </si>
  <si>
    <r>
      <t>• VIP Gold Fresh ASP is </t>
    </r>
    <r>
      <rPr>
        <b/>
        <sz val="11"/>
        <rFont val="Helvetica Neue"/>
        <family val="2"/>
      </rPr>
      <t>₹4,653</t>
    </r>
    <r>
      <rPr>
        <sz val="11"/>
        <rFont val="Helvetica Neue"/>
        <family val="2"/>
      </rPr>
      <t> – 2.9× the Repeat ASP.</t>
    </r>
  </si>
  <si>
    <r>
      <t>• Design a </t>
    </r>
    <r>
      <rPr>
        <b/>
        <sz val="11"/>
        <rFont val="Helvetica Neue"/>
        <family val="2"/>
      </rPr>
      <t>premium‑plus tier</t>
    </r>
    <r>
      <rPr>
        <sz val="11"/>
        <rFont val="Helvetica Neue"/>
        <family val="2"/>
      </rPr>
      <t> that adds a fast‑track lab slot, tele‑consult, or home‑sample‑pickup for a flat surcharge (₹500‑₹800).</t>
    </r>
  </si>
  <si>
    <r>
      <t>• Assign the surcharge </t>
    </r>
    <r>
      <rPr>
        <b/>
        <sz val="11"/>
        <rFont val="Helvetica Neue"/>
        <family val="2"/>
      </rPr>
      <t>only to Self‑channel</t>
    </r>
    <r>
      <rPr>
        <sz val="11"/>
        <rFont val="Helvetica Neue"/>
        <family val="2"/>
      </rPr>
      <t> (to protect GM) and </t>
    </r>
    <r>
      <rPr>
        <b/>
        <sz val="11"/>
        <rFont val="Helvetica Neue"/>
        <family val="2"/>
      </rPr>
      <t>exclude it from coupon stacking</t>
    </r>
    <r>
      <rPr>
        <sz val="11"/>
        <rFont val="Helvetica Neue"/>
        <family val="2"/>
      </rPr>
      <t>.</t>
    </r>
  </si>
  <si>
    <r>
      <t>• Fresh‑Regular bookings already have </t>
    </r>
    <r>
      <rPr>
        <b/>
        <sz val="11"/>
        <rFont val="Helvetica Neue"/>
        <family val="2"/>
      </rPr>
      <t>71 % coupon penetration</t>
    </r>
    <r>
      <rPr>
        <sz val="11"/>
        <rFont val="Helvetica Neue"/>
        <family val="2"/>
      </rPr>
      <t> – price can be raised if bundled with premium add‑ons that are not discount‑eligible.</t>
    </r>
  </si>
  <si>
    <r>
      <t>• </t>
    </r>
    <r>
      <rPr>
        <b/>
        <sz val="11"/>
        <rFont val="Helvetica Neue"/>
        <family val="2"/>
      </rPr>
      <t>Gurugram</t>
    </r>
    <r>
      <rPr>
        <sz val="11"/>
        <rFont val="Helvetica Neue"/>
        <family val="2"/>
      </rPr>
      <t> shows the highest Net ASP (</t>
    </r>
    <r>
      <rPr>
        <b/>
        <sz val="11"/>
        <rFont val="Helvetica Neue"/>
        <family val="2"/>
      </rPr>
      <t>₹1,978</t>
    </r>
    <r>
      <rPr>
        <sz val="11"/>
        <rFont val="Helvetica Neue"/>
        <family val="2"/>
      </rPr>
      <t>) and a healthy </t>
    </r>
    <r>
      <rPr>
        <b/>
        <sz val="11"/>
        <rFont val="Helvetica Neue"/>
        <family val="2"/>
      </rPr>
      <t>VIP Gold share (39 %)</t>
    </r>
    <r>
      <rPr>
        <sz val="11"/>
        <rFont val="Helvetica Neue"/>
        <family val="2"/>
      </rPr>
      <t>.</t>
    </r>
  </si>
  <si>
    <r>
      <t>• Build a </t>
    </r>
    <r>
      <rPr>
        <b/>
        <sz val="11"/>
        <rFont val="Helvetica Neue"/>
        <family val="2"/>
      </rPr>
      <t>city‑specific pricing matrix</t>
    </r>
    <r>
      <rPr>
        <sz val="11"/>
        <rFont val="Helvetica Neue"/>
        <family val="2"/>
      </rPr>
      <t>: set a “price floor” equal to the 75‑th percentile ASP in the top‑performing city (Gurugram).</t>
    </r>
  </si>
  <si>
    <r>
      <t>• </t>
    </r>
    <r>
      <rPr>
        <b/>
        <sz val="11"/>
        <rFont val="Helvetica Neue"/>
        <family val="2"/>
      </rPr>
      <t>Delhi</t>
    </r>
    <r>
      <rPr>
        <sz val="11"/>
        <rFont val="Helvetica Neue"/>
        <family val="2"/>
      </rPr>
      <t> ASP is </t>
    </r>
    <r>
      <rPr>
        <b/>
        <sz val="11"/>
        <rFont val="Helvetica Neue"/>
        <family val="2"/>
      </rPr>
      <t>₹1,593</t>
    </r>
    <r>
      <rPr>
        <sz val="11"/>
        <rFont val="Helvetica Neue"/>
        <family val="2"/>
      </rPr>
      <t> – 20 % lower, yet volume is 2× higher.</t>
    </r>
  </si>
  <si>
    <r>
      <t>• Apply a </t>
    </r>
    <r>
      <rPr>
        <b/>
        <sz val="11"/>
        <rFont val="Helvetica Neue"/>
        <family val="2"/>
      </rPr>
      <t>+5 % uplift</t>
    </r>
    <r>
      <rPr>
        <sz val="11"/>
        <rFont val="Helvetica Neue"/>
        <family val="2"/>
      </rPr>
      <t> to test‑price lists in lower‑ASP cities (Delhi, Noida, Pune) while monitoring volume (target ≤ 5 % drop).</t>
    </r>
  </si>
  <si>
    <r>
      <t>• ASP correlates positively with </t>
    </r>
    <r>
      <rPr>
        <b/>
        <sz val="11"/>
        <rFont val="Helvetica Neue"/>
        <family val="2"/>
      </rPr>
      <t>average members per booking</t>
    </r>
    <r>
      <rPr>
        <sz val="11"/>
        <rFont val="Helvetica Neue"/>
        <family val="2"/>
      </rPr>
      <t> (</t>
    </r>
    <r>
      <rPr>
        <sz val="13.3"/>
        <rFont val="Times New Roman"/>
        <family val="1"/>
      </rPr>
      <t>r=+0.65</t>
    </r>
    <r>
      <rPr>
        <i/>
        <sz val="13.3"/>
        <rFont val="KaTeX_Math"/>
      </rPr>
      <t>r</t>
    </r>
    <r>
      <rPr>
        <sz val="13.3"/>
        <rFont val="Times New Roman"/>
        <family val="1"/>
      </rPr>
      <t>=+0.65</t>
    </r>
    <r>
      <rPr>
        <sz val="11"/>
        <rFont val="Helvetica Neue"/>
        <family val="2"/>
      </rPr>
      <t>).</t>
    </r>
  </si>
  <si>
    <r>
      <t>• Deep‑discount coupons (e.g., </t>
    </r>
    <r>
      <rPr>
        <b/>
        <sz val="11"/>
        <rFont val="Helvetica Neue"/>
        <family val="2"/>
      </rPr>
      <t>FREEDOM50</t>
    </r>
    <r>
      <rPr>
        <sz val="11"/>
        <rFont val="Helvetica Neue"/>
        <family val="2"/>
      </rPr>
      <t>) drive </t>
    </r>
    <r>
      <rPr>
        <b/>
        <sz val="11"/>
        <rFont val="Helvetica Neue"/>
        <family val="2"/>
      </rPr>
      <t>GM = 47.9 %</t>
    </r>
    <r>
      <rPr>
        <sz val="11"/>
        <rFont val="Helvetica Neue"/>
        <family val="2"/>
      </rPr>
      <t> and a steep ASP drop (≈ ₹1,600).</t>
    </r>
  </si>
  <si>
    <r>
      <t>• Retire coupons with </t>
    </r>
    <r>
      <rPr>
        <b/>
        <sz val="11"/>
        <rFont val="Helvetica Neue"/>
        <family val="2"/>
      </rPr>
      <t>&gt; 30 % discount</t>
    </r>
    <r>
      <rPr>
        <sz val="11"/>
        <rFont val="Helvetica Neue"/>
        <family val="2"/>
      </rPr>
      <t> (FREEDOM50, SAVEBIGGER25).</t>
    </r>
  </si>
  <si>
    <r>
      <t>• Coupon‑only depth curve shows a </t>
    </r>
    <r>
      <rPr>
        <b/>
        <sz val="11"/>
        <rFont val="Helvetica Neue"/>
        <family val="2"/>
      </rPr>
      <t>sharp margin cliff after 40 % discount</t>
    </r>
    <r>
      <rPr>
        <sz val="11"/>
        <rFont val="Helvetica Neue"/>
        <family val="2"/>
      </rPr>
      <t>.</t>
    </r>
  </si>
  <si>
    <r>
      <t>• Introduce a </t>
    </r>
    <r>
      <rPr>
        <b/>
        <sz val="11"/>
        <rFont val="Helvetica Neue"/>
        <family val="2"/>
      </rPr>
      <t>loyalty‑point credit</t>
    </r>
    <r>
      <rPr>
        <sz val="11"/>
        <rFont val="Helvetica Neue"/>
        <family val="2"/>
      </rPr>
      <t> (e.g., ₹200 per booking) that can be redeemed on a future test but does </t>
    </r>
    <r>
      <rPr>
        <b/>
        <sz val="11"/>
        <rFont val="Helvetica Neue"/>
        <family val="2"/>
      </rPr>
      <t>not</t>
    </r>
    <r>
      <rPr>
        <sz val="11"/>
        <rFont val="Helvetica Neue"/>
        <family val="2"/>
      </rPr>
      <t> reduce ASP at the point of sale.</t>
    </r>
  </si>
  <si>
    <r>
      <t>• Track conversion of points → repeat bookings; expected ASP uplift: </t>
    </r>
    <r>
      <rPr>
        <b/>
        <sz val="11"/>
        <rFont val="Helvetica Neue"/>
        <family val="2"/>
      </rPr>
      <t>+8‑12 %</t>
    </r>
    <r>
      <rPr>
        <sz val="11"/>
        <rFont val="Helvetica Neue"/>
        <family val="2"/>
      </rPr>
      <t> on affected segments.</t>
    </r>
  </si>
  <si>
    <r>
      <t>• </t>
    </r>
    <r>
      <rPr>
        <b/>
        <sz val="11"/>
        <rFont val="Helvetica Neue"/>
        <family val="2"/>
      </rPr>
      <t>Self‑channel</t>
    </r>
    <r>
      <rPr>
        <sz val="11"/>
        <rFont val="Helvetica Neue"/>
        <family val="2"/>
      </rPr>
      <t> enjoys the highest GM % (</t>
    </r>
    <r>
      <rPr>
        <b/>
        <sz val="11"/>
        <rFont val="Helvetica Neue"/>
        <family val="2"/>
      </rPr>
      <t>71.5 %</t>
    </r>
    <r>
      <rPr>
        <sz val="11"/>
        <rFont val="Helvetica Neue"/>
        <family val="2"/>
      </rPr>
      <t>) and the highest </t>
    </r>
    <r>
      <rPr>
        <b/>
        <sz val="11"/>
        <rFont val="Helvetica Neue"/>
        <family val="2"/>
      </rPr>
      <t>VIP Gold concentration (42 %)</t>
    </r>
    <r>
      <rPr>
        <sz val="11"/>
        <rFont val="Helvetica Neue"/>
        <family val="2"/>
      </rPr>
      <t>.</t>
    </r>
  </si>
  <si>
    <r>
      <t>• Introduce a </t>
    </r>
    <r>
      <rPr>
        <b/>
        <sz val="11"/>
        <rFont val="Helvetica Neue"/>
        <family val="2"/>
      </rPr>
      <t>“Self‑Only Premium‑Plus”</t>
    </r>
    <r>
      <rPr>
        <sz val="11"/>
        <rFont val="Helvetica Neue"/>
        <family val="2"/>
      </rPr>
      <t> surcharge (₹400) that is </t>
    </r>
    <r>
      <rPr>
        <b/>
        <sz val="11"/>
        <rFont val="Helvetica Neue"/>
        <family val="2"/>
      </rPr>
      <t>discount‑ineligible</t>
    </r>
    <r>
      <rPr>
        <sz val="11"/>
        <rFont val="Helvetica Neue"/>
        <family val="2"/>
      </rPr>
      <t>.</t>
    </r>
  </si>
  <si>
    <r>
      <t>• </t>
    </r>
    <r>
      <rPr>
        <b/>
        <sz val="11"/>
        <rFont val="Helvetica Neue"/>
        <family val="2"/>
      </rPr>
      <t>Sales</t>
    </r>
    <r>
      <rPr>
        <sz val="11"/>
        <rFont val="Helvetica Neue"/>
        <family val="2"/>
      </rPr>
      <t> drives revenue but has the lowest GM % (</t>
    </r>
    <r>
      <rPr>
        <b/>
        <sz val="11"/>
        <rFont val="Helvetica Neue"/>
        <family val="2"/>
      </rPr>
      <t>66.2 %</t>
    </r>
    <r>
      <rPr>
        <sz val="11"/>
        <rFont val="Helvetica Neue"/>
        <family val="2"/>
      </rPr>
      <t>) and heavy coupon usage (</t>
    </r>
    <r>
      <rPr>
        <b/>
        <sz val="11"/>
        <rFont val="Helvetica Neue"/>
        <family val="2"/>
      </rPr>
      <t>≈ 70 %</t>
    </r>
    <r>
      <rPr>
        <sz val="11"/>
        <rFont val="Helvetica Neue"/>
        <family val="2"/>
      </rPr>
      <t>).</t>
    </r>
  </si>
  <si>
    <r>
      <t>• Offer sales agents a </t>
    </r>
    <r>
      <rPr>
        <b/>
        <sz val="11"/>
        <rFont val="Helvetica Neue"/>
        <family val="2"/>
      </rPr>
      <t>fixed closure bonus</t>
    </r>
    <r>
      <rPr>
        <sz val="11"/>
        <rFont val="Helvetica Neue"/>
        <family val="2"/>
      </rPr>
      <t> for converting a Fresh booking to Self within 48 h (instead of a commission tied to discount usage).</t>
    </r>
  </si>
  <si>
    <r>
      <t>• Expected shift: </t>
    </r>
    <r>
      <rPr>
        <b/>
        <sz val="11"/>
        <rFont val="Helvetica Neue"/>
        <family val="2"/>
      </rPr>
      <t>5‑7 %</t>
    </r>
    <r>
      <rPr>
        <sz val="11"/>
        <rFont val="Helvetica Neue"/>
        <family val="2"/>
      </rPr>
      <t> of Sales bookings migrate to Self, raising overall ASP by </t>
    </r>
    <r>
      <rPr>
        <b/>
        <sz val="11"/>
        <rFont val="Helvetica Neue"/>
        <family val="2"/>
      </rPr>
      <t>≈ ₹120‑₹150</t>
    </r>
    <r>
      <rPr>
        <sz val="11"/>
        <rFont val="Helvetica Neue"/>
        <family val="2"/>
      </rPr>
      <t> per booking.</t>
    </r>
  </si>
  <si>
    <r>
      <t>Cross‑Sell “Package‑Stack” Bundles</t>
    </r>
    <r>
      <rPr>
        <sz val="11"/>
        <rFont val="Helvetica Neue"/>
        <family val="2"/>
      </rPr>
      <t> (e.g., “Diabetes + Lipid + Thyroid”)</t>
    </r>
  </si>
  <si>
    <r>
      <t>• </t>
    </r>
    <r>
      <rPr>
        <b/>
        <sz val="11"/>
        <rFont val="Helvetica Neue"/>
        <family val="2"/>
      </rPr>
      <t>Avg Members</t>
    </r>
    <r>
      <rPr>
        <sz val="11"/>
        <rFont val="Helvetica Neue"/>
        <family val="2"/>
      </rPr>
      <t> per booking is </t>
    </r>
    <r>
      <rPr>
        <b/>
        <sz val="11"/>
        <rFont val="Helvetica Neue"/>
        <family val="2"/>
      </rPr>
      <t>1.22</t>
    </r>
    <r>
      <rPr>
        <sz val="11"/>
        <rFont val="Helvetica Neue"/>
        <family val="2"/>
      </rPr>
      <t> overall but </t>
    </r>
    <r>
      <rPr>
        <b/>
        <sz val="11"/>
        <rFont val="Helvetica Neue"/>
        <family val="2"/>
      </rPr>
      <t>1.99–2.99</t>
    </r>
    <r>
      <rPr>
        <sz val="11"/>
        <rFont val="Helvetica Neue"/>
        <family val="2"/>
      </rPr>
      <t> for ADDFAMILY family‑add‑on codes, which deliver </t>
    </r>
    <r>
      <rPr>
        <b/>
        <sz val="11"/>
        <rFont val="Helvetica Neue"/>
        <family val="2"/>
      </rPr>
      <t>₹2,682–₹3,777</t>
    </r>
    <r>
      <rPr>
        <sz val="11"/>
        <rFont val="Helvetica Neue"/>
        <family val="2"/>
      </rPr>
      <t> ASP with &gt; 68 % GM.</t>
    </r>
  </si>
  <si>
    <r>
      <t>• Build </t>
    </r>
    <r>
      <rPr>
        <b/>
        <sz val="11"/>
        <rFont val="Helvetica Neue"/>
        <family val="2"/>
      </rPr>
      <t>pre‑defined bundles</t>
    </r>
    <r>
      <rPr>
        <sz val="11"/>
        <rFont val="Helvetica Neue"/>
        <family val="2"/>
      </rPr>
      <t> of 2‑3 tests that logically belong together (e.g., “Metabolic Panel”).</t>
    </r>
  </si>
  <si>
    <r>
      <t>• Price bundles </t>
    </r>
    <r>
      <rPr>
        <b/>
        <sz val="11"/>
        <rFont val="Helvetica Neue"/>
        <family val="2"/>
      </rPr>
      <t>5‑7 %</t>
    </r>
    <r>
      <rPr>
        <sz val="11"/>
        <rFont val="Helvetica Neue"/>
        <family val="2"/>
      </rPr>
      <t> above the sum of individual Net ASPs (leveraging “economies of scale” while preserving margin).</t>
    </r>
  </si>
  <si>
    <r>
      <t>• Attach the </t>
    </r>
    <r>
      <rPr>
        <b/>
        <sz val="11"/>
        <rFont val="Helvetica Neue"/>
        <family val="2"/>
      </rPr>
      <t>ADDFAMILY</t>
    </r>
    <r>
      <rPr>
        <sz val="11"/>
        <rFont val="Helvetica Neue"/>
        <family val="2"/>
      </rPr>
      <t> discount caps to bundle purchases, ensuring the total discount never exceeds the capped 20‑30 %.</t>
    </r>
  </si>
  <si>
    <r>
      <t>Introduce “Premium‑Add‑On” for High‑Margin Packages</t>
    </r>
    <r>
      <rPr>
        <sz val="11"/>
        <rFont val="Helvetica Neue"/>
        <family val="2"/>
      </rPr>
      <t> (e.g., “express‑turn‑around”, “priority reporting”)</t>
    </r>
  </si>
  <si>
    <r>
      <t>• Packages with </t>
    </r>
    <r>
      <rPr>
        <b/>
        <sz val="11"/>
        <rFont val="Helvetica Neue"/>
        <family val="2"/>
      </rPr>
      <t>express_slot = ₹150</t>
    </r>
    <r>
      <rPr>
        <sz val="11"/>
        <rFont val="Helvetica Neue"/>
        <family val="2"/>
      </rPr>
      <t> already have a higher Net ASP (≈ ₹1,900) and </t>
    </r>
    <r>
      <rPr>
        <b/>
        <sz val="11"/>
        <rFont val="Helvetica Neue"/>
        <family val="2"/>
      </rPr>
      <t>GM ≈ 71 %</t>
    </r>
    <r>
      <rPr>
        <sz val="11"/>
        <rFont val="Helvetica Neue"/>
        <family val="2"/>
      </rPr>
      <t> (Phlebo channel).</t>
    </r>
  </si>
  <si>
    <r>
      <t>• Offer the express‑slot as an </t>
    </r>
    <r>
      <rPr>
        <b/>
        <sz val="11"/>
        <rFont val="Helvetica Neue"/>
        <family val="2"/>
      </rPr>
      <t>optional add‑on</t>
    </r>
    <r>
      <rPr>
        <sz val="11"/>
        <rFont val="Helvetica Neue"/>
        <family val="2"/>
      </rPr>
      <t> at a fixed price (₹250) for </t>
    </r>
    <r>
      <rPr>
        <b/>
        <sz val="11"/>
        <rFont val="Helvetica Neue"/>
        <family val="2"/>
      </rPr>
      <t>all channels</t>
    </r>
    <r>
      <rPr>
        <sz val="11"/>
        <rFont val="Helvetica Neue"/>
        <family val="2"/>
      </rPr>
      <t>.</t>
    </r>
  </si>
  <si>
    <r>
      <t>• Express‑slot usage is </t>
    </r>
    <r>
      <rPr>
        <b/>
        <sz val="11"/>
        <rFont val="Helvetica Neue"/>
        <family val="2"/>
      </rPr>
      <t>≈ 15 %</t>
    </r>
    <r>
      <rPr>
        <sz val="11"/>
        <rFont val="Helvetica Neue"/>
        <family val="2"/>
      </rPr>
      <t> of bookings, but the margin uplift per unit is </t>
    </r>
    <r>
      <rPr>
        <b/>
        <sz val="11"/>
        <rFont val="Helvetica Neue"/>
        <family val="2"/>
      </rPr>
      <t>≈ ₹200‑₹300</t>
    </r>
    <r>
      <rPr>
        <sz val="11"/>
        <rFont val="Helvetica Neue"/>
        <family val="2"/>
      </rPr>
      <t>.</t>
    </r>
  </si>
  <si>
    <r>
      <t>– For Self channel, make it </t>
    </r>
    <r>
      <rPr>
        <b/>
        <sz val="11"/>
        <rFont val="Helvetica Neue"/>
        <family val="2"/>
      </rPr>
      <t>discount‑ineligible</t>
    </r>
    <r>
      <rPr>
        <sz val="11"/>
        <rFont val="Helvetica Neue"/>
        <family val="2"/>
      </rPr>
      <t> (protect GM).</t>
    </r>
  </si>
  <si>
    <r>
      <t>– For Sales/Phlebo, tie the add‑on to a </t>
    </r>
    <r>
      <rPr>
        <b/>
        <sz val="11"/>
        <rFont val="Helvetica Neue"/>
        <family val="2"/>
      </rPr>
      <t>higher‑tier coupon</t>
    </r>
    <r>
      <rPr>
        <sz val="11"/>
        <rFont val="Helvetica Neue"/>
        <family val="2"/>
      </rPr>
      <t> that caps total discount.</t>
    </r>
  </si>
  <si>
    <r>
      <t>• </t>
    </r>
    <r>
      <rPr>
        <b/>
        <sz val="11"/>
        <rFont val="Helvetica Neue"/>
        <family val="2"/>
      </rPr>
      <t>Fresh %</t>
    </r>
    <r>
      <rPr>
        <sz val="11"/>
        <rFont val="Helvetica Neue"/>
        <family val="2"/>
      </rPr>
      <t> correlates positively with ASP (</t>
    </r>
    <r>
      <rPr>
        <sz val="13.3"/>
        <rFont val="Times New Roman"/>
        <family val="1"/>
      </rPr>
      <t>r=+0.71</t>
    </r>
    <r>
      <rPr>
        <i/>
        <sz val="13.3"/>
        <rFont val="KaTeX_Math"/>
      </rPr>
      <t>r</t>
    </r>
    <r>
      <rPr>
        <sz val="13.3"/>
        <rFont val="Times New Roman"/>
        <family val="1"/>
      </rPr>
      <t>=+0.71</t>
    </r>
    <r>
      <rPr>
        <sz val="11"/>
        <rFont val="Helvetica Neue"/>
        <family val="2"/>
      </rPr>
      <t>).</t>
    </r>
  </si>
  <si>
    <r>
      <t>• Deploy a </t>
    </r>
    <r>
      <rPr>
        <b/>
        <sz val="11"/>
        <rFont val="Helvetica Neue"/>
        <family val="2"/>
      </rPr>
      <t>“7‑day post‑booking health‑check”</t>
    </r>
    <r>
      <rPr>
        <sz val="11"/>
        <rFont val="Helvetica Neue"/>
        <family val="2"/>
      </rPr>
      <t> email/SMS that offers a </t>
    </r>
    <r>
      <rPr>
        <b/>
        <sz val="11"/>
        <rFont val="Helvetica Neue"/>
        <family val="2"/>
      </rPr>
      <t>single‑test discount</t>
    </r>
    <r>
      <rPr>
        <sz val="11"/>
        <rFont val="Helvetica Neue"/>
        <family val="2"/>
      </rPr>
      <t> (≤ 10 %) </t>
    </r>
    <r>
      <rPr>
        <i/>
        <sz val="11"/>
        <rFont val="Helvetica Neue"/>
        <family val="2"/>
      </rPr>
      <t>only</t>
    </r>
    <r>
      <rPr>
        <sz val="11"/>
        <rFont val="Helvetica Neue"/>
        <family val="2"/>
      </rPr>
      <t> for the next purchase.</t>
    </r>
  </si>
  <si>
    <r>
      <t>• However, </t>
    </r>
    <r>
      <rPr>
        <b/>
        <sz val="11"/>
        <rFont val="Helvetica Neue"/>
        <family val="2"/>
      </rPr>
      <t>Fresh share declines</t>
    </r>
    <r>
      <rPr>
        <sz val="11"/>
        <rFont val="Helvetica Neue"/>
        <family val="2"/>
      </rPr>
      <t> over time (≈ 35 % avg).</t>
    </r>
  </si>
  <si>
    <r>
      <t>• The goal is to convert </t>
    </r>
    <r>
      <rPr>
        <b/>
        <sz val="11"/>
        <rFont val="Helvetica Neue"/>
        <family val="2"/>
      </rPr>
      <t>≥ 20 %</t>
    </r>
    <r>
      <rPr>
        <sz val="11"/>
        <rFont val="Helvetica Neue"/>
        <family val="2"/>
      </rPr>
      <t> of Fresh customers into a second booking within 2 weeks, preserving a higher combined ASP than a straight discount on Repeat.</t>
    </r>
  </si>
  <si>
    <r>
      <t>• Each Fresh booking yields </t>
    </r>
    <r>
      <rPr>
        <b/>
        <sz val="11"/>
        <rFont val="Helvetica Neue"/>
        <family val="2"/>
      </rPr>
      <t>≈ ₹1,700 Net ASP</t>
    </r>
    <r>
      <rPr>
        <sz val="11"/>
        <rFont val="Helvetica Neue"/>
        <family val="2"/>
      </rPr>
      <t> vs. </t>
    </r>
    <r>
      <rPr>
        <b/>
        <sz val="11"/>
        <rFont val="Helvetica Neue"/>
        <family val="2"/>
      </rPr>
      <t>₹1,600</t>
    </r>
    <r>
      <rPr>
        <sz val="11"/>
        <rFont val="Helvetica Neue"/>
        <family val="2"/>
      </rPr>
      <t> for Repeat.</t>
    </r>
  </si>
  <si>
    <r>
      <t>• Depth‑vs‑Margin curve shows </t>
    </r>
    <r>
      <rPr>
        <b/>
        <sz val="11"/>
        <rFont val="Helvetica Neue"/>
        <family val="2"/>
      </rPr>
      <t>GM ≈ 77 %</t>
    </r>
    <r>
      <rPr>
        <sz val="11"/>
        <rFont val="Helvetica Neue"/>
        <family val="2"/>
      </rPr>
      <t> up to </t>
    </r>
    <r>
      <rPr>
        <b/>
        <sz val="11"/>
        <rFont val="Helvetica Neue"/>
        <family val="2"/>
      </rPr>
      <t>20 % discount</t>
    </r>
    <r>
      <rPr>
        <sz val="11"/>
        <rFont val="Helvetica Neue"/>
        <family val="2"/>
      </rPr>
      <t>; only </t>
    </r>
    <r>
      <rPr>
        <b/>
        <sz val="11"/>
        <rFont val="Helvetica Neue"/>
        <family val="2"/>
      </rPr>
      <t>≈ 43 % GM</t>
    </r>
    <r>
      <rPr>
        <sz val="11"/>
        <rFont val="Helvetica Neue"/>
        <family val="2"/>
      </rPr>
      <t> after 40 %.</t>
    </r>
  </si>
  <si>
    <r>
      <t>• Institutionalize a </t>
    </r>
    <r>
      <rPr>
        <b/>
        <sz val="11"/>
        <rFont val="Helvetica Neue"/>
        <family val="2"/>
      </rPr>
      <t>hard ceiling</t>
    </r>
    <r>
      <rPr>
        <sz val="11"/>
        <rFont val="Helvetica Neue"/>
        <family val="2"/>
      </rPr>
      <t> of </t>
    </r>
    <r>
      <rPr>
        <b/>
        <sz val="11"/>
        <rFont val="Helvetica Neue"/>
        <family val="2"/>
      </rPr>
      <t>20 %</t>
    </r>
    <r>
      <rPr>
        <sz val="11"/>
        <rFont val="Helvetica Neue"/>
        <family val="2"/>
      </rPr>
      <t> for any new coupon (unless a business case justifies a higher depth).</t>
    </r>
  </si>
  <si>
    <r>
      <t>• Current policy allows depth up to 42 % (FREEDOM50) producing a </t>
    </r>
    <r>
      <rPr>
        <b/>
        <sz val="11"/>
        <rFont val="Helvetica Neue"/>
        <family val="2"/>
      </rPr>
      <t>GM cliff</t>
    </r>
    <r>
      <rPr>
        <sz val="11"/>
        <rFont val="Helvetica Neue"/>
        <family val="2"/>
      </rPr>
      <t>.</t>
    </r>
  </si>
  <si>
    <r>
      <t>• Existing deep coupons should be </t>
    </r>
    <r>
      <rPr>
        <b/>
        <sz val="11"/>
        <rFont val="Helvetica Neue"/>
        <family val="2"/>
      </rPr>
      <t>retired</t>
    </r>
    <r>
      <rPr>
        <sz val="11"/>
        <rFont val="Helvetica Neue"/>
        <family val="2"/>
      </rPr>
      <t> or </t>
    </r>
    <r>
      <rPr>
        <b/>
        <sz val="11"/>
        <rFont val="Helvetica Neue"/>
        <family val="2"/>
      </rPr>
      <t>re‑designed</t>
    </r>
    <r>
      <rPr>
        <sz val="11"/>
        <rFont val="Helvetica Neue"/>
        <family val="2"/>
      </rPr>
      <t> as “bonus‑point” offers (see #3).</t>
    </r>
  </si>
  <si>
    <r>
      <t>• MOV compliance check currently uses </t>
    </r>
    <r>
      <rPr>
        <b/>
        <sz val="11"/>
        <rFont val="Helvetica Neue"/>
        <family val="2"/>
      </rPr>
      <t>per‑package </t>
    </r>
    <r>
      <rPr>
        <b/>
        <sz val="9.9"/>
        <rFont val="Menlo"/>
        <family val="2"/>
      </rPr>
      <t>offer_price</t>
    </r>
    <r>
      <rPr>
        <sz val="11"/>
        <rFont val="Helvetica Neue"/>
        <family val="2"/>
      </rPr>
      <t>, which mis‑classifies many bookings as “below MOV”.</t>
    </r>
  </si>
  <si>
    <r>
      <t>• Modify the booking engine to </t>
    </r>
    <r>
      <rPr>
        <b/>
        <sz val="11"/>
        <rFont val="Helvetica Neue"/>
        <family val="2"/>
      </rPr>
      <t>aggregate </t>
    </r>
    <r>
      <rPr>
        <b/>
        <sz val="9.9"/>
        <rFont val="Menlo"/>
        <family val="2"/>
      </rPr>
      <t>offer_price</t>
    </r>
    <r>
      <rPr>
        <b/>
        <sz val="11"/>
        <rFont val="Helvetica Neue"/>
        <family val="2"/>
      </rPr>
      <t> across all items in a cart</t>
    </r>
    <r>
      <rPr>
        <sz val="11"/>
        <rFont val="Helvetica Neue"/>
        <family val="2"/>
      </rPr>
      <t> before applying MOV validation.</t>
    </r>
  </si>
  <si>
    <r>
      <t>• True under‑pricing is only visible at </t>
    </r>
    <r>
      <rPr>
        <b/>
        <sz val="11"/>
        <rFont val="Helvetica Neue"/>
        <family val="2"/>
      </rPr>
      <t>total cart value</t>
    </r>
    <r>
      <rPr>
        <sz val="11"/>
        <rFont val="Helvetica Neue"/>
        <family val="2"/>
      </rPr>
      <t>.</t>
    </r>
  </si>
  <si>
    <r>
      <t>• Flag any booking that fails MOV at the cart level for </t>
    </r>
    <r>
      <rPr>
        <b/>
        <sz val="11"/>
        <rFont val="Helvetica Neue"/>
        <family val="2"/>
      </rPr>
      <t>manual review</t>
    </r>
    <r>
      <rPr>
        <sz val="11"/>
        <rFont val="Helvetica Neue"/>
        <family val="2"/>
      </rPr>
      <t>; otherwise, allow the discount to pass. This prevents inadvertent revenue leakage on high‑value multi‑test carts.</t>
    </r>
  </si>
  <si>
    <r>
      <t>• Current elasticity model lacks </t>
    </r>
    <r>
      <rPr>
        <b/>
        <sz val="11"/>
        <rFont val="Helvetica Neue"/>
        <family val="2"/>
      </rPr>
      <t>coupon‑aware</t>
    </r>
    <r>
      <rPr>
        <sz val="11"/>
        <rFont val="Helvetica Neue"/>
        <family val="2"/>
      </rPr>
      <t> signals (stacking, family‑add‑on).</t>
    </r>
  </si>
  <si>
    <r>
      <t>• Add </t>
    </r>
    <r>
      <rPr>
        <b/>
        <sz val="9.9"/>
        <rFont val="Menlo"/>
        <family val="2"/>
      </rPr>
      <t>coupon_code</t>
    </r>
    <r>
      <rPr>
        <sz val="11"/>
        <rFont val="Helvetica Neue"/>
        <family val="2"/>
      </rPr>
      <t>, </t>
    </r>
    <r>
      <rPr>
        <b/>
        <sz val="9.9"/>
        <rFont val="Menlo"/>
        <family val="2"/>
      </rPr>
      <t>n_disc_types</t>
    </r>
    <r>
      <rPr>
        <sz val="11"/>
        <rFont val="Helvetica Neue"/>
        <family val="2"/>
      </rPr>
      <t>, and </t>
    </r>
    <r>
      <rPr>
        <b/>
        <sz val="9.9"/>
        <rFont val="Menlo"/>
        <family val="2"/>
      </rPr>
      <t>total_member</t>
    </r>
    <r>
      <rPr>
        <sz val="11"/>
        <rFont val="Helvetica Neue"/>
        <family val="2"/>
      </rPr>
      <t> as covariates in the next elasticity regression.</t>
    </r>
  </si>
  <si>
    <r>
      <t>– Run a </t>
    </r>
    <r>
      <rPr>
        <b/>
        <sz val="11"/>
        <rFont val="Helvetica Neue"/>
        <family val="2"/>
      </rPr>
      <t>rolling 30‑day elasticity window</t>
    </r>
    <r>
      <rPr>
        <sz val="11"/>
        <rFont val="Helvetica Neue"/>
        <family val="2"/>
      </rPr>
      <t> that incorporates the new variables.</t>
    </r>
  </si>
  <si>
    <r>
      <t>– Use the model to flag tests where a </t>
    </r>
    <r>
      <rPr>
        <b/>
        <sz val="11"/>
        <rFont val="Helvetica Neue"/>
        <family val="2"/>
      </rPr>
      <t>+5 % price rise</t>
    </r>
    <r>
      <rPr>
        <sz val="11"/>
        <rFont val="Helvetica Neue"/>
        <family val="2"/>
      </rPr>
      <t> is predicted to retain </t>
    </r>
    <r>
      <rPr>
        <b/>
        <sz val="11"/>
        <rFont val="Helvetica Neue"/>
        <family val="2"/>
      </rPr>
      <t>≥ 90 %</t>
    </r>
    <r>
      <rPr>
        <sz val="11"/>
        <rFont val="Helvetica Neue"/>
        <family val="2"/>
      </rPr>
      <t> of volume.</t>
    </r>
  </si>
  <si>
    <r>
      <t>• VIP Gold Fresh users have </t>
    </r>
    <r>
      <rPr>
        <b/>
        <sz val="11"/>
        <rFont val="Helvetica Neue"/>
        <family val="2"/>
      </rPr>
      <t>very high ASP</t>
    </r>
    <r>
      <rPr>
        <sz val="11"/>
        <rFont val="Helvetica Neue"/>
        <family val="2"/>
      </rPr>
      <t> and </t>
    </r>
    <r>
      <rPr>
        <b/>
        <sz val="11"/>
        <rFont val="Helvetica Neue"/>
        <family val="2"/>
      </rPr>
      <t>low repeat frequency</t>
    </r>
    <r>
      <rPr>
        <sz val="11"/>
        <rFont val="Helvetica Neue"/>
        <family val="2"/>
      </rPr>
      <t>.</t>
    </r>
  </si>
  <si>
    <r>
      <t>• Offer a </t>
    </r>
    <r>
      <rPr>
        <b/>
        <sz val="11"/>
        <rFont val="Helvetica Neue"/>
        <family val="2"/>
      </rPr>
      <t>“Gold‑Elite”</t>
    </r>
    <r>
      <rPr>
        <sz val="11"/>
        <rFont val="Helvetica Neue"/>
        <family val="2"/>
      </rPr>
      <t> sub‑tier (annual fee ₹1,200) that provides </t>
    </r>
    <r>
      <rPr>
        <b/>
        <sz val="11"/>
        <rFont val="Helvetica Neue"/>
        <family val="2"/>
      </rPr>
      <t>exclusive coupon‑free price</t>
    </r>
    <r>
      <rPr>
        <sz val="11"/>
        <rFont val="Helvetica Neue"/>
        <family val="2"/>
      </rPr>
      <t> on a defined set of high‑margin tests (e.g., HBA1C, Thyroid).</t>
    </r>
  </si>
  <si>
    <r>
      <t>• Expected effect: </t>
    </r>
    <r>
      <rPr>
        <b/>
        <sz val="11"/>
        <rFont val="Helvetica Neue"/>
        <family val="2"/>
      </rPr>
      <t>↑ ASP</t>
    </r>
    <r>
      <rPr>
        <sz val="11"/>
        <rFont val="Helvetica Neue"/>
        <family val="2"/>
      </rPr>
      <t> for the elite cohort and </t>
    </r>
    <r>
      <rPr>
        <b/>
        <sz val="11"/>
        <rFont val="Helvetica Neue"/>
        <family val="2"/>
      </rPr>
      <t>↓ coupon stacking</t>
    </r>
    <r>
      <rPr>
        <sz val="11"/>
        <rFont val="Helvetica Neue"/>
        <family val="2"/>
      </rPr>
      <t> (protect GM).</t>
    </r>
  </si>
  <si>
    <r>
      <t>• Cities like </t>
    </r>
    <r>
      <rPr>
        <b/>
        <sz val="11"/>
        <rFont val="Helvetica Neue"/>
        <family val="2"/>
      </rPr>
      <t>Gurugram</t>
    </r>
    <r>
      <rPr>
        <sz val="11"/>
        <rFont val="Helvetica Neue"/>
        <family val="2"/>
      </rPr>
      <t> and </t>
    </r>
    <r>
      <rPr>
        <b/>
        <sz val="11"/>
        <rFont val="Helvetica Neue"/>
        <family val="2"/>
      </rPr>
      <t>Mumbai</t>
    </r>
    <r>
      <rPr>
        <sz val="11"/>
        <rFont val="Helvetica Neue"/>
        <family val="2"/>
      </rPr>
      <t> already exhibit </t>
    </r>
    <r>
      <rPr>
        <b/>
        <sz val="11"/>
        <rFont val="Helvetica Neue"/>
        <family val="2"/>
      </rPr>
      <t>higher Net ASP</t>
    </r>
    <r>
      <rPr>
        <sz val="11"/>
        <rFont val="Helvetica Neue"/>
        <family val="2"/>
      </rPr>
      <t> and </t>
    </r>
    <r>
      <rPr>
        <b/>
        <sz val="11"/>
        <rFont val="Helvetica Neue"/>
        <family val="2"/>
      </rPr>
      <t>higher VIP Gold share</t>
    </r>
    <r>
      <rPr>
        <sz val="11"/>
        <rFont val="Helvetica Neue"/>
        <family val="2"/>
      </rPr>
      <t>.</t>
    </r>
  </si>
  <si>
    <r>
      <t>• Replicate the </t>
    </r>
    <r>
      <rPr>
        <b/>
        <sz val="11"/>
        <rFont val="Helvetica Neue"/>
        <family val="2"/>
      </rPr>
      <t>pricing, bundle, and channel mix</t>
    </r>
    <r>
      <rPr>
        <sz val="11"/>
        <rFont val="Helvetica Neue"/>
        <family val="2"/>
      </rPr>
      <t> from these high‑ASP cities to comparable‑profile cities (e.g., </t>
    </r>
    <r>
      <rPr>
        <b/>
        <sz val="11"/>
        <rFont val="Helvetica Neue"/>
        <family val="2"/>
      </rPr>
      <t>Ghaziabad</t>
    </r>
    <r>
      <rPr>
        <sz val="11"/>
        <rFont val="Helvetica Neue"/>
        <family val="2"/>
      </rPr>
      <t>, </t>
    </r>
    <r>
      <rPr>
        <b/>
        <sz val="11"/>
        <rFont val="Helvetica Neue"/>
        <family val="2"/>
      </rPr>
      <t>Noida</t>
    </r>
    <r>
      <rPr>
        <sz val="11"/>
        <rFont val="Helvetica Neue"/>
        <family val="2"/>
      </rPr>
      <t>) via a </t>
    </r>
    <r>
      <rPr>
        <b/>
        <sz val="11"/>
        <rFont val="Helvetica Neue"/>
        <family val="2"/>
      </rPr>
      <t>city‑template rollout</t>
    </r>
    <r>
      <rPr>
        <sz val="11"/>
        <rFont val="Helvetica Neue"/>
        <family val="2"/>
      </rPr>
      <t>.</t>
    </r>
  </si>
  <si>
    <r>
      <t>• The ASP Action Plan already recommends </t>
    </r>
    <r>
      <rPr>
        <b/>
        <sz val="11"/>
        <rFont val="Helvetica Neue"/>
        <family val="2"/>
      </rPr>
      <t>+9 % to +13 %</t>
    </r>
    <r>
      <rPr>
        <sz val="11"/>
        <rFont val="Helvetica Neue"/>
        <family val="2"/>
      </rPr>
      <t> lifts for HBA1C, Thyroid, LFT, KFT, TSH.</t>
    </r>
  </si>
  <si>
    <r>
      <t>• Run </t>
    </r>
    <r>
      <rPr>
        <b/>
        <sz val="11"/>
        <rFont val="Helvetica Neue"/>
        <family val="2"/>
      </rPr>
      <t>parallel A/B experiments</t>
    </r>
    <r>
      <rPr>
        <sz val="11"/>
        <rFont val="Helvetica Neue"/>
        <family val="2"/>
      </rPr>
      <t>:</t>
    </r>
  </si>
  <si>
    <r>
      <t>– </t>
    </r>
    <r>
      <rPr>
        <b/>
        <sz val="11"/>
        <rFont val="Helvetica Neue"/>
        <family val="2"/>
      </rPr>
      <t>Control</t>
    </r>
    <r>
      <rPr>
        <sz val="11"/>
        <rFont val="Helvetica Neue"/>
        <family val="2"/>
      </rPr>
      <t>: Current price.</t>
    </r>
  </si>
  <si>
    <r>
      <t>– </t>
    </r>
    <r>
      <rPr>
        <b/>
        <sz val="11"/>
        <rFont val="Helvetica Neue"/>
        <family val="2"/>
      </rPr>
      <t>Variant‑A</t>
    </r>
    <r>
      <rPr>
        <sz val="11"/>
        <rFont val="Helvetica Neue"/>
        <family val="2"/>
      </rPr>
      <t>: +5 % price uplift.</t>
    </r>
  </si>
  <si>
    <r>
      <t>– </t>
    </r>
    <r>
      <rPr>
        <b/>
        <sz val="11"/>
        <rFont val="Helvetica Neue"/>
        <family val="2"/>
      </rPr>
      <t>Variant‑B</t>
    </r>
    <r>
      <rPr>
        <sz val="11"/>
        <rFont val="Helvetica Neue"/>
        <family val="2"/>
      </rPr>
      <t>: +10 % price uplift (as per plan).</t>
    </r>
  </si>
  <si>
    <r>
      <t>– Track </t>
    </r>
    <r>
      <rPr>
        <b/>
        <sz val="11"/>
        <rFont val="Helvetica Neue"/>
        <family val="2"/>
      </rPr>
      <t>ASP</t>
    </r>
    <r>
      <rPr>
        <sz val="11"/>
        <rFont val="Helvetica Neue"/>
        <family val="2"/>
      </rPr>
      <t>, </t>
    </r>
    <r>
      <rPr>
        <b/>
        <sz val="11"/>
        <rFont val="Helvetica Neue"/>
        <family val="2"/>
      </rPr>
      <t>volume</t>
    </r>
    <r>
      <rPr>
        <sz val="11"/>
        <rFont val="Helvetica Neue"/>
        <family val="2"/>
      </rPr>
      <t>, </t>
    </r>
    <r>
      <rPr>
        <b/>
        <sz val="11"/>
        <rFont val="Helvetica Neue"/>
        <family val="2"/>
      </rPr>
      <t>GM%</t>
    </r>
    <r>
      <rPr>
        <sz val="11"/>
        <rFont val="Helvetica Neue"/>
        <family val="2"/>
      </rPr>
      <t> over a </t>
    </r>
    <r>
      <rPr>
        <b/>
        <sz val="11"/>
        <rFont val="Helvetica Neue"/>
        <family val="2"/>
      </rPr>
      <t>2‑week window</t>
    </r>
    <r>
      <rPr>
        <sz val="11"/>
        <rFont val="Helvetica Neue"/>
        <family val="2"/>
      </rPr>
      <t>.</t>
    </r>
  </si>
  <si>
    <r>
      <t>– Adopt the variant with </t>
    </r>
    <r>
      <rPr>
        <b/>
        <sz val="11"/>
        <rFont val="Helvetica Neue"/>
        <family val="2"/>
      </rPr>
      <t>≥ 8 % ASP lift</t>
    </r>
    <r>
      <rPr>
        <sz val="11"/>
        <rFont val="Helvetica Neue"/>
        <family val="2"/>
      </rPr>
      <t> and </t>
    </r>
    <r>
      <rPr>
        <b/>
        <sz val="11"/>
        <rFont val="Helvetica Neue"/>
        <family val="2"/>
      </rPr>
      <t>≤ 5 % volume loss</t>
    </r>
    <r>
      <rPr>
        <sz val="11"/>
        <rFont val="Helvetica Neue"/>
        <family val="2"/>
      </rPr>
      <t>.</t>
    </r>
  </si>
  <si>
    <r>
      <t>• Referral discount currently appears as a </t>
    </r>
    <r>
      <rPr>
        <b/>
        <sz val="11"/>
        <rFont val="Helvetica Neue"/>
        <family val="2"/>
      </rPr>
      <t>0</t>
    </r>
    <r>
      <rPr>
        <sz val="11"/>
        <rFont val="Helvetica Neue"/>
        <family val="2"/>
      </rPr>
      <t> in the data (no uptake).</t>
    </r>
  </si>
  <si>
    <r>
      <t>• Offer </t>
    </r>
    <r>
      <rPr>
        <b/>
        <sz val="11"/>
        <rFont val="Helvetica Neue"/>
        <family val="2"/>
      </rPr>
      <t>₹200 referral credit</t>
    </r>
    <r>
      <rPr>
        <sz val="11"/>
        <rFont val="Helvetica Neue"/>
        <family val="2"/>
      </rPr>
      <t> </t>
    </r>
    <r>
      <rPr>
        <b/>
        <sz val="11"/>
        <rFont val="Helvetica Neue"/>
        <family val="2"/>
      </rPr>
      <t>only</t>
    </r>
    <r>
      <rPr>
        <sz val="11"/>
        <rFont val="Helvetica Neue"/>
        <family val="2"/>
      </rPr>
      <t> when the referred user purchases a </t>
    </r>
    <r>
      <rPr>
        <b/>
        <sz val="11"/>
        <rFont val="Helvetica Neue"/>
        <family val="2"/>
      </rPr>
      <t>bundle of ≥ 2 tests</t>
    </r>
    <r>
      <rPr>
        <sz val="11"/>
        <rFont val="Helvetica Neue"/>
        <family val="2"/>
      </rPr>
      <t>.</t>
    </r>
  </si>
  <si>
    <r>
      <t>– The credit is applied to the referrer’s next purchase </t>
    </r>
    <r>
      <rPr>
        <i/>
        <sz val="11"/>
        <rFont val="Helvetica Neue"/>
        <family val="2"/>
      </rPr>
      <t>without</t>
    </r>
    <r>
      <rPr>
        <sz val="11"/>
        <rFont val="Helvetica Neue"/>
        <family val="2"/>
      </rPr>
      <t> lowering the current ASP.</t>
    </r>
  </si>
  <si>
    <r>
      <t>• Express‑slot revenue contribution is </t>
    </r>
    <r>
      <rPr>
        <b/>
        <sz val="11"/>
        <rFont val="Helvetica Neue"/>
        <family val="2"/>
      </rPr>
      <t>₹150</t>
    </r>
    <r>
      <rPr>
        <sz val="11"/>
        <rFont val="Helvetica Neue"/>
        <family val="2"/>
      </rPr>
      <t> per booking, but only </t>
    </r>
    <r>
      <rPr>
        <b/>
        <sz val="11"/>
        <rFont val="Helvetica Neue"/>
        <family val="2"/>
      </rPr>
      <t>≈ 15 %</t>
    </r>
    <r>
      <rPr>
        <sz val="11"/>
        <rFont val="Helvetica Neue"/>
        <family val="2"/>
      </rPr>
      <t> of bookings use it.</t>
    </r>
  </si>
  <si>
    <r>
      <t>• Promote the express‑slot as a </t>
    </r>
    <r>
      <rPr>
        <b/>
        <sz val="11"/>
        <rFont val="Helvetica Neue"/>
        <family val="2"/>
      </rPr>
      <t>“priority‑service add‑on”</t>
    </r>
    <r>
      <rPr>
        <sz val="11"/>
        <rFont val="Helvetica Neue"/>
        <family val="2"/>
      </rPr>
      <t> for </t>
    </r>
    <r>
      <rPr>
        <i/>
        <sz val="11"/>
        <rFont val="Helvetica Neue"/>
        <family val="2"/>
      </rPr>
      <t>any</t>
    </r>
    <r>
      <rPr>
        <sz val="11"/>
        <rFont val="Helvetica Neue"/>
        <family val="2"/>
      </rPr>
      <t> test (price = ₹150).</t>
    </r>
  </si>
  <si>
    <r>
      <t>– Offer a </t>
    </r>
    <r>
      <rPr>
        <b/>
        <sz val="11"/>
        <rFont val="Helvetica Neue"/>
        <family val="2"/>
      </rPr>
      <t>“first‑time‑express”</t>
    </r>
    <r>
      <rPr>
        <sz val="11"/>
        <rFont val="Helvetica Neue"/>
        <family val="2"/>
      </rPr>
      <t> discount (10 % off the add‑on only) to encourage uptake.</t>
    </r>
  </si>
  <si>
    <t>How to Prioritize &amp; Track Progress</t>
  </si>
  <si>
    <t>Priority</t>
  </si>
  <si>
    <t>Lever</t>
  </si>
  <si>
    <t>Quick‑Win KPI (30 days)</t>
  </si>
  <si>
    <t>Medium‑Term KPI (90 days)</t>
  </si>
  <si>
    <t>P1</t>
  </si>
  <si>
    <t>#1 Premium‑Plus Packages, #2 City‑Level Bench‑Marking, #3 Replace Deep Discounts with Loyalty Points</t>
  </si>
  <si>
    <t>+2 % Net ASP, GM % ≥ 70 % on pilot cities</t>
  </si>
  <si>
    <t>+5 % Net ASP across all cities, GM % ≥ 71 %</t>
  </si>
  <si>
    <t>P2</t>
  </si>
  <si>
    <t>#4 Channel‑Shift Incentives, #5 Cross‑Sell Bundles, #6 Express‑Add‑On</t>
  </si>
  <si>
    <t>+3 % shift of Sales → Self, +4 % bundle uptake</t>
  </si>
  <si>
    <t>P3</t>
  </si>
  <si>
    <t>#7 Fresh‑to‑Repeat Upsell Cadence, #8 Coupon‑Depth Ceiling, #9 Cart‑Level MOV</t>
  </si>
  <si>
    <t>20 % Fresh → 2nd purchase conversion</t>
  </si>
  <si>
    <t>10 % reduction in deep‑discount coupon volume</t>
  </si>
  <si>
    <t>P4</t>
  </si>
  <si>
    <t>#10 Elasticity‑Aware Modeling, #11 Tiered Loyalty, #12 Regional Templates</t>
  </si>
  <si>
    <t>Elasticity model ready, pilot on 3 tests</t>
  </si>
  <si>
    <t>Full‑scale elasticity‑driven price optimization</t>
  </si>
  <si>
    <t>P5</t>
  </si>
  <si>
    <t>#13 A/B Test Price Nudges, #14 Bundled‑Referral, #15 Express‑Slot Utilization</t>
  </si>
  <si>
    <t>Complete A/B test, select winning variant</t>
  </si>
  <si>
    <t>Institutionalize referral‑bundle program, achieve +6 % ASP on referral traffic</t>
  </si>
  <si>
    <t>Daily ASP &amp; GM% trend per channel &amp; city.</t>
  </si>
  <si>
    <t>Coupon‑stacking risk flag (high‑risk packages × deep coupons).</t>
  </si>
  <si>
    <t>Family‑add‑on uptake &amp; average members per booking.</t>
  </si>
  <si>
    <t>A/B test results (price uplift vs. volume loss) in real time.</t>
  </si>
  <si>
    <t>Loyalty‑point redemption vs. ASP impact.</t>
  </si>
  <si>
    <t>TL;DR</t>
  </si>
  <si>
    <r>
      <t>+7 % overall ASP, </t>
    </r>
    <r>
      <rPr>
        <b/>
        <sz val="11"/>
        <rFont val="Helvetica Neue"/>
        <family val="2"/>
      </rPr>
      <t>Revenue uplift</t>
    </r>
    <r>
      <rPr>
        <sz val="11"/>
        <rFont val="Helvetica Neue"/>
        <family val="2"/>
      </rPr>
      <t> ≈ ₹15 M/month</t>
    </r>
  </si>
  <si>
    <r>
      <t>Monitoring Dashboard</t>
    </r>
    <r>
      <rPr>
        <sz val="14"/>
        <rFont val="Helvetica Neue"/>
        <family val="2"/>
      </rPr>
      <t> (to be built in the next sprint):</t>
    </r>
  </si>
  <si>
    <r>
      <t>Bundle &amp; premium‑price</t>
    </r>
    <r>
      <rPr>
        <sz val="14"/>
        <rFont val="Helvetica Neue"/>
        <family val="2"/>
      </rPr>
      <t> high‑margin tests; protect them from coupons.</t>
    </r>
  </si>
  <si>
    <r>
      <t>Shift high‑ASP customers</t>
    </r>
    <r>
      <rPr>
        <sz val="14"/>
        <rFont val="Helvetica Neue"/>
        <family val="2"/>
      </rPr>
      <t> to the </t>
    </r>
    <r>
      <rPr>
        <b/>
        <sz val="14"/>
        <rFont val="Helvetica Neue"/>
        <family val="2"/>
      </rPr>
      <t>Self channel</t>
    </r>
    <r>
      <rPr>
        <sz val="14"/>
        <rFont val="Helvetica Neue"/>
        <family val="2"/>
      </rPr>
      <t> with surcharge incentives.</t>
    </r>
  </si>
  <si>
    <r>
      <t>Standardize a 20 % coupon ceiling</t>
    </r>
    <r>
      <rPr>
        <sz val="14"/>
        <rFont val="Helvetica Neue"/>
        <family val="2"/>
      </rPr>
      <t> and replace deeper discounts with </t>
    </r>
    <r>
      <rPr>
        <b/>
        <sz val="14"/>
        <rFont val="Helvetica Neue"/>
        <family val="2"/>
      </rPr>
      <t>loyalty points</t>
    </r>
    <r>
      <rPr>
        <sz val="14"/>
        <rFont val="Helvetica Neue"/>
        <family val="2"/>
      </rPr>
      <t>.</t>
    </r>
  </si>
  <si>
    <r>
      <t>Leverage city‑level ASP benchmarks</t>
    </r>
    <r>
      <rPr>
        <sz val="14"/>
        <rFont val="Helvetica Neue"/>
        <family val="2"/>
      </rPr>
      <t> to lift under‑performing markets.</t>
    </r>
  </si>
  <si>
    <r>
      <t>Activate family‑add‑on mechanics</t>
    </r>
    <r>
      <rPr>
        <sz val="14"/>
        <rFont val="Helvetica Neue"/>
        <family val="2"/>
      </rPr>
      <t> across repeat bookings and </t>
    </r>
    <r>
      <rPr>
        <b/>
        <sz val="14"/>
        <rFont val="Helvetica Neue"/>
        <family val="2"/>
      </rPr>
      <t>smooth app UX</t>
    </r>
    <r>
      <rPr>
        <sz val="14"/>
        <rFont val="Helvetica Neue"/>
        <family val="2"/>
      </rPr>
      <t> for multi‑member carts.</t>
    </r>
  </si>
  <si>
    <r>
      <t>Build a cart‑level MOV check</t>
    </r>
    <r>
      <rPr>
        <sz val="14"/>
        <rFont val="Helvetica Neue"/>
        <family val="2"/>
      </rPr>
      <t> and an </t>
    </r>
    <r>
      <rPr>
        <b/>
        <sz val="14"/>
        <rFont val="Helvetica Neue"/>
        <family val="2"/>
      </rPr>
      <t>elasticity‑aware pricing model</t>
    </r>
    <r>
      <rPr>
        <sz val="14"/>
        <rFont val="Helvetica Neue"/>
        <family val="2"/>
      </rPr>
      <t> for data‑driven price adjustments.</t>
    </r>
  </si>
  <si>
    <r>
      <t>Implementing these levers in a phased manner—starting with the quick‑wins (premium‑plus bundles, city‑level price uplift, coupon‑depth ceiling) and then layering on the more complex channel‑shift and elasticity‑modeling work—should raise the </t>
    </r>
    <r>
      <rPr>
        <b/>
        <sz val="14"/>
        <rFont val="Helvetica Neue"/>
        <family val="2"/>
      </rPr>
      <t>overall Net ASP by 5‑8 %</t>
    </r>
    <r>
      <rPr>
        <sz val="14"/>
        <rFont val="Helvetica Neue"/>
        <family val="2"/>
      </rPr>
      <t> while </t>
    </r>
    <r>
      <rPr>
        <b/>
        <sz val="14"/>
        <rFont val="Helvetica Neue"/>
        <family val="2"/>
      </rPr>
      <t>maintaining or improving Gross Margin</t>
    </r>
    <r>
      <rPr>
        <sz val="14"/>
        <rFont val="Helvetica Neue"/>
        <family val="2"/>
      </rPr>
      <t> across the business.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</si>
</sst>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#,##0_);[Red]\(&quot;₹&quot;#,##0\)"/>
    <numFmt numFmtId="8" formatCode="&quot;₹&quot;#,##0.00_);[Red]\(&quot;₹&quot;#,##0.00\)"/>
  </numFmts>
  <fonts count="36"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i/>
      <sz val="9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C00000"/>
      <name val="Arial"/>
      <family val="2"/>
    </font>
    <font>
      <b/>
      <sz val="10"/>
      <name val="Helvetica Neue"/>
      <family val="2"/>
    </font>
    <font>
      <sz val="10"/>
      <name val="Helvetica Neue"/>
      <family val="2"/>
    </font>
    <font>
      <sz val="10"/>
      <name val="Calibri"/>
      <family val="2"/>
      <scheme val="minor"/>
    </font>
    <font>
      <sz val="10"/>
      <name val="Menlo"/>
      <family val="2"/>
    </font>
    <font>
      <sz val="10"/>
      <name val="Helvetica Neue"/>
      <family val="2"/>
    </font>
    <font>
      <sz val="10"/>
      <name val="Helvetica Neue"/>
      <family val="2"/>
    </font>
    <font>
      <i/>
      <sz val="10"/>
      <name val="Helvetica Neue"/>
      <family val="2"/>
    </font>
    <font>
      <b/>
      <sz val="10"/>
      <name val="Menlo"/>
      <family val="2"/>
    </font>
    <font>
      <sz val="10"/>
      <name val="Times New Roman"/>
      <family val="1"/>
    </font>
    <font>
      <sz val="10"/>
      <name val="Times New Roman"/>
      <family val="1"/>
    </font>
    <font>
      <sz val="10"/>
      <name val="Menlo"/>
      <family val="2"/>
    </font>
    <font>
      <sz val="10"/>
      <name val="Times New Roman"/>
      <family val="1"/>
    </font>
    <font>
      <i/>
      <sz val="10"/>
      <name val="KaTeX_Math"/>
    </font>
    <font>
      <i/>
      <sz val="10"/>
      <name val="KaTeX_Math"/>
    </font>
    <font>
      <i/>
      <sz val="10"/>
      <name val="KaTeX_Math"/>
    </font>
    <font>
      <b/>
      <sz val="10"/>
      <name val="Times New Roman"/>
      <family val="1"/>
    </font>
    <font>
      <sz val="18"/>
      <name val="Helvetica Neue"/>
      <family val="2"/>
    </font>
    <font>
      <sz val="11"/>
      <name val="Calibri"/>
      <family val="2"/>
      <scheme val="minor"/>
    </font>
    <font>
      <sz val="14"/>
      <name val="Helvetica Neue"/>
      <family val="2"/>
    </font>
    <font>
      <b/>
      <sz val="14"/>
      <name val="Helvetica Neue"/>
      <family val="2"/>
    </font>
    <font>
      <sz val="9.9"/>
      <name val="Menlo"/>
      <family val="2"/>
    </font>
    <font>
      <sz val="11"/>
      <name val="Helvetica Neue"/>
      <family val="2"/>
    </font>
    <font>
      <b/>
      <sz val="11"/>
      <name val="Helvetica Neue"/>
      <family val="2"/>
    </font>
    <font>
      <sz val="11"/>
      <name val="Helvetica Neue"/>
      <family val="2"/>
    </font>
    <font>
      <sz val="13.3"/>
      <name val="Times New Roman"/>
      <family val="1"/>
    </font>
    <font>
      <i/>
      <sz val="13.3"/>
      <name val="KaTeX_Math"/>
    </font>
    <font>
      <i/>
      <sz val="11"/>
      <name val="Helvetica Neue"/>
      <family val="2"/>
    </font>
    <font>
      <b/>
      <sz val="9.9"/>
      <name val="Menlo"/>
      <family val="2"/>
    </font>
    <font>
      <sz val="16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0" xfId="0" applyFont="1"/>
    <xf numFmtId="3" fontId="4" fillId="0" borderId="0" xfId="0" applyNumberFormat="1" applyFont="1"/>
    <xf numFmtId="0" fontId="3" fillId="2" borderId="0" xfId="0" applyFont="1" applyFill="1"/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20" fontId="8" fillId="0" borderId="0" xfId="0" applyNumberFormat="1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" fontId="7" fillId="0" borderId="0" xfId="0" applyNumberFormat="1" applyFont="1"/>
    <xf numFmtId="3" fontId="8" fillId="0" borderId="0" xfId="0" applyNumberFormat="1" applyFont="1"/>
    <xf numFmtId="10" fontId="8" fillId="0" borderId="0" xfId="0" applyNumberFormat="1" applyFont="1"/>
    <xf numFmtId="8" fontId="8" fillId="0" borderId="0" xfId="0" applyNumberFormat="1" applyFont="1"/>
    <xf numFmtId="10" fontId="7" fillId="0" borderId="0" xfId="0" applyNumberFormat="1" applyFont="1"/>
    <xf numFmtId="3" fontId="13" fillId="0" borderId="0" xfId="0" applyNumberFormat="1" applyFont="1"/>
    <xf numFmtId="10" fontId="13" fillId="0" borderId="0" xfId="0" applyNumberFormat="1" applyFont="1"/>
    <xf numFmtId="8" fontId="13" fillId="0" borderId="0" xfId="0" applyNumberFormat="1" applyFont="1"/>
    <xf numFmtId="3" fontId="7" fillId="0" borderId="0" xfId="0" applyNumberFormat="1" applyFont="1"/>
    <xf numFmtId="6" fontId="7" fillId="0" borderId="0" xfId="0" applyNumberFormat="1" applyFont="1"/>
    <xf numFmtId="8" fontId="7" fillId="0" borderId="0" xfId="0" applyNumberFormat="1" applyFont="1"/>
    <xf numFmtId="0" fontId="10" fillId="0" borderId="0" xfId="0" applyFont="1"/>
    <xf numFmtId="0" fontId="14" fillId="0" borderId="0" xfId="0" applyFont="1"/>
    <xf numFmtId="0" fontId="22" fillId="0" borderId="0" xfId="0" applyFont="1"/>
    <xf numFmtId="0" fontId="24" fillId="0" borderId="0" xfId="0" applyFont="1"/>
    <xf numFmtId="0" fontId="25" fillId="0" borderId="0" xfId="0" applyFont="1"/>
    <xf numFmtId="0" fontId="28" fillId="0" borderId="0" xfId="0" applyFont="1"/>
    <xf numFmtId="0" fontId="30" fillId="0" borderId="0" xfId="0" applyFont="1"/>
    <xf numFmtId="0" fontId="23" fillId="0" borderId="0" xfId="0" applyFont="1" applyFill="1"/>
    <xf numFmtId="0" fontId="25" fillId="0" borderId="0" xfId="0" applyFont="1" applyFill="1"/>
    <xf numFmtId="0" fontId="29" fillId="0" borderId="0" xfId="0" applyFont="1" applyFill="1"/>
    <xf numFmtId="0" fontId="35" fillId="0" borderId="0" xfId="0" applyFont="1"/>
    <xf numFmtId="0" fontId="29" fillId="0" borderId="0" xfId="0" applyFont="1"/>
    <xf numFmtId="0" fontId="26" fillId="0" borderId="0" xfId="0" applyFont="1"/>
    <xf numFmtId="0" fontId="24" fillId="0" borderId="0" xfId="0" applyFont="1" applyFill="1" applyAlignment="1">
      <alignment wrapText="1"/>
    </xf>
    <xf numFmtId="0" fontId="29" fillId="0" borderId="0" xfId="0" applyFont="1" applyFill="1" applyAlignment="1">
      <alignment wrapText="1"/>
    </xf>
    <xf numFmtId="0" fontId="24" fillId="0" borderId="0" xfId="0" applyFont="1" applyFill="1" applyAlignment="1"/>
    <xf numFmtId="0" fontId="0" fillId="0" borderId="0" xfId="0" applyAlignment="1"/>
    <xf numFmtId="0" fontId="30" fillId="0" borderId="0" xfId="0" applyFont="1" applyFill="1" applyAlignment="1"/>
    <xf numFmtId="0" fontId="30" fillId="0" borderId="0" xfId="0" applyFont="1" applyFill="1" applyAlignment="1"/>
    <xf numFmtId="0" fontId="28" fillId="5" borderId="0" xfId="0" applyFont="1" applyFill="1"/>
    <xf numFmtId="0" fontId="28" fillId="5" borderId="0" xfId="0" applyFont="1" applyFill="1" applyAlignment="1">
      <alignment wrapText="1"/>
    </xf>
    <xf numFmtId="0" fontId="28" fillId="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114300</xdr:rowOff>
    </xdr:to>
    <xdr:sp macro="" textlink="">
      <xdr:nvSpPr>
        <xdr:cNvPr id="2049" name="AutoShape 1" descr="Mermaid diagram">
          <a:extLst>
            <a:ext uri="{FF2B5EF4-FFF2-40B4-BE49-F238E27FC236}">
              <a16:creationId xmlns:a16="http://schemas.microsoft.com/office/drawing/2014/main" id="{5FB46F28-628A-600D-CC1A-A7D5A22BEBA1}"/>
            </a:ext>
          </a:extLst>
        </xdr:cNvPr>
        <xdr:cNvSpPr>
          <a:spLocks noChangeAspect="1" noChangeArrowheads="1"/>
        </xdr:cNvSpPr>
      </xdr:nvSpPr>
      <xdr:spPr bwMode="auto">
        <a:xfrm>
          <a:off x="0" y="140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opLeftCell="A2" workbookViewId="0">
      <selection activeCell="B18" sqref="B18"/>
    </sheetView>
  </sheetViews>
  <sheetFormatPr baseColWidth="10" defaultColWidth="8.83203125" defaultRowHeight="15"/>
  <cols>
    <col min="1" max="1" width="30" customWidth="1"/>
    <col min="2" max="2" width="39" customWidth="1"/>
    <col min="3" max="3" width="34.5" customWidth="1"/>
    <col min="4" max="4" width="26.33203125" customWidth="1"/>
    <col min="5" max="5" width="30" customWidth="1"/>
    <col min="6" max="6" width="16" customWidth="1"/>
    <col min="7" max="7" width="14" customWidth="1"/>
    <col min="8" max="8" width="16" customWidth="1"/>
  </cols>
  <sheetData>
    <row r="1" spans="1:8" ht="20">
      <c r="A1" s="1" t="s">
        <v>0</v>
      </c>
    </row>
    <row r="2" spans="1:8">
      <c r="A2" s="10" t="s">
        <v>1</v>
      </c>
      <c r="B2" s="9"/>
      <c r="C2" s="9"/>
      <c r="D2" s="9"/>
      <c r="E2" s="9"/>
      <c r="F2" s="9"/>
      <c r="G2" s="9"/>
      <c r="H2" s="9"/>
    </row>
    <row r="4" spans="1:8" ht="16">
      <c r="A4" s="8" t="s">
        <v>2</v>
      </c>
      <c r="B4" s="9"/>
      <c r="C4" s="9"/>
      <c r="D4" s="9"/>
      <c r="E4" s="9"/>
      <c r="F4" s="9"/>
      <c r="G4" s="9"/>
      <c r="H4" s="9"/>
    </row>
    <row r="5" spans="1:8" ht="2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42">
      <c r="A6" s="3" t="s">
        <v>11</v>
      </c>
      <c r="B6" s="4">
        <v>357</v>
      </c>
      <c r="C6" s="4">
        <v>390</v>
      </c>
      <c r="D6" s="5" t="s">
        <v>12</v>
      </c>
      <c r="E6" s="3" t="s">
        <v>13</v>
      </c>
      <c r="F6" s="4">
        <v>20959</v>
      </c>
      <c r="G6" s="3" t="s">
        <v>12</v>
      </c>
      <c r="H6" s="3"/>
    </row>
    <row r="7" spans="1:8" ht="28">
      <c r="A7" s="3" t="s">
        <v>14</v>
      </c>
      <c r="B7" s="4">
        <v>423</v>
      </c>
      <c r="C7" s="4">
        <v>470</v>
      </c>
      <c r="D7" s="5" t="s">
        <v>15</v>
      </c>
      <c r="E7" s="3" t="s">
        <v>16</v>
      </c>
      <c r="F7" s="4">
        <v>35655</v>
      </c>
      <c r="G7" s="3" t="s">
        <v>15</v>
      </c>
      <c r="H7" s="3"/>
    </row>
    <row r="8" spans="1:8" ht="70">
      <c r="A8" s="3" t="s">
        <v>17</v>
      </c>
      <c r="B8" s="4">
        <v>386</v>
      </c>
      <c r="C8" s="4">
        <v>425</v>
      </c>
      <c r="D8" s="5" t="s">
        <v>18</v>
      </c>
      <c r="E8" s="3" t="s">
        <v>19</v>
      </c>
      <c r="F8" s="4">
        <v>26330</v>
      </c>
      <c r="G8" s="3" t="s">
        <v>20</v>
      </c>
      <c r="H8" s="3"/>
    </row>
    <row r="9" spans="1:8" ht="42">
      <c r="A9" s="3" t="s">
        <v>21</v>
      </c>
      <c r="B9" s="4">
        <v>403</v>
      </c>
      <c r="C9" s="4">
        <v>449</v>
      </c>
      <c r="D9" s="5" t="s">
        <v>22</v>
      </c>
      <c r="E9" s="3" t="s">
        <v>23</v>
      </c>
      <c r="F9" s="4">
        <v>27976</v>
      </c>
      <c r="G9" s="3" t="s">
        <v>24</v>
      </c>
      <c r="H9" s="3"/>
    </row>
    <row r="10" spans="1:8" ht="28">
      <c r="A10" s="3" t="s">
        <v>25</v>
      </c>
      <c r="B10" s="4">
        <v>263</v>
      </c>
      <c r="C10" s="4">
        <v>299</v>
      </c>
      <c r="D10" s="5" t="s">
        <v>26</v>
      </c>
      <c r="E10" s="3" t="s">
        <v>27</v>
      </c>
      <c r="F10" s="4">
        <v>9554</v>
      </c>
      <c r="G10" s="3" t="s">
        <v>28</v>
      </c>
      <c r="H10" s="3"/>
    </row>
    <row r="11" spans="1:8">
      <c r="A11" s="11" t="s">
        <v>29</v>
      </c>
      <c r="B11" s="9"/>
      <c r="C11" s="9"/>
      <c r="D11" s="9"/>
      <c r="E11" s="9"/>
      <c r="F11" s="9"/>
      <c r="G11" s="9"/>
      <c r="H11" s="9"/>
    </row>
    <row r="12" spans="1:8">
      <c r="A12" s="6" t="s">
        <v>30</v>
      </c>
      <c r="F12" s="7">
        <v>120474</v>
      </c>
    </row>
    <row r="14" spans="1:8">
      <c r="A14" s="12" t="s">
        <v>31</v>
      </c>
      <c r="B14" s="9"/>
      <c r="C14" s="9"/>
      <c r="D14" s="9"/>
      <c r="E14" s="9"/>
      <c r="F14" s="9"/>
      <c r="G14" s="9"/>
      <c r="H14" s="9"/>
    </row>
    <row r="16" spans="1:8" ht="16">
      <c r="A16" s="8" t="s">
        <v>32</v>
      </c>
      <c r="B16" s="9"/>
      <c r="C16" s="9"/>
      <c r="D16" s="9"/>
      <c r="E16" s="9"/>
      <c r="F16" s="9"/>
      <c r="G16" s="9"/>
      <c r="H16" s="9"/>
    </row>
    <row r="17" spans="1:8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</row>
    <row r="18" spans="1:8" ht="210">
      <c r="A18" s="3" t="s">
        <v>38</v>
      </c>
      <c r="B18" s="3" t="s">
        <v>39</v>
      </c>
      <c r="C18" s="3" t="s">
        <v>40</v>
      </c>
      <c r="D18" s="5" t="s">
        <v>41</v>
      </c>
      <c r="E18" s="3" t="s">
        <v>42</v>
      </c>
    </row>
    <row r="19" spans="1:8" ht="154">
      <c r="A19" s="3" t="s">
        <v>43</v>
      </c>
      <c r="B19" s="3" t="s">
        <v>44</v>
      </c>
      <c r="C19" s="3" t="s">
        <v>45</v>
      </c>
      <c r="D19" s="5" t="s">
        <v>46</v>
      </c>
      <c r="E19" s="3" t="s">
        <v>47</v>
      </c>
    </row>
    <row r="21" spans="1:8" ht="16">
      <c r="A21" s="8" t="s">
        <v>48</v>
      </c>
      <c r="B21" s="9"/>
      <c r="C21" s="9"/>
      <c r="D21" s="9"/>
      <c r="E21" s="9"/>
      <c r="F21" s="9"/>
      <c r="G21" s="9"/>
      <c r="H21" s="9"/>
    </row>
    <row r="22" spans="1:8">
      <c r="A22" s="2" t="s">
        <v>49</v>
      </c>
      <c r="B22" s="2" t="s">
        <v>3</v>
      </c>
      <c r="C22" s="2" t="s">
        <v>6</v>
      </c>
      <c r="D22" s="2" t="s">
        <v>10</v>
      </c>
      <c r="E22" s="2" t="s">
        <v>50</v>
      </c>
    </row>
    <row r="23" spans="1:8">
      <c r="A23" s="3">
        <v>1</v>
      </c>
      <c r="B23" s="3" t="s">
        <v>11</v>
      </c>
      <c r="C23" s="3" t="s">
        <v>51</v>
      </c>
      <c r="D23" s="3"/>
      <c r="E23" s="3"/>
    </row>
    <row r="24" spans="1:8" ht="28">
      <c r="A24" s="3">
        <v>2</v>
      </c>
      <c r="B24" s="3" t="s">
        <v>14</v>
      </c>
      <c r="C24" s="3" t="s">
        <v>52</v>
      </c>
      <c r="D24" s="3"/>
      <c r="E24" s="3"/>
    </row>
    <row r="25" spans="1:8" ht="28">
      <c r="A25" s="3">
        <v>3</v>
      </c>
      <c r="B25" s="3" t="s">
        <v>17</v>
      </c>
      <c r="C25" s="3" t="s">
        <v>53</v>
      </c>
      <c r="D25" s="3"/>
      <c r="E25" s="3"/>
    </row>
    <row r="26" spans="1:8" ht="42">
      <c r="A26" s="3">
        <v>4</v>
      </c>
      <c r="B26" s="3" t="s">
        <v>21</v>
      </c>
      <c r="C26" s="3" t="s">
        <v>54</v>
      </c>
      <c r="D26" s="3"/>
      <c r="E26" s="3"/>
    </row>
    <row r="27" spans="1:8" ht="28">
      <c r="A27" s="3">
        <v>5</v>
      </c>
      <c r="B27" s="3" t="s">
        <v>25</v>
      </c>
      <c r="C27" s="3" t="s">
        <v>55</v>
      </c>
      <c r="D27" s="3"/>
      <c r="E27" s="3"/>
    </row>
    <row r="29" spans="1:8" ht="16">
      <c r="A29" s="8" t="s">
        <v>56</v>
      </c>
      <c r="B29" s="9"/>
      <c r="C29" s="9"/>
      <c r="D29" s="9"/>
      <c r="E29" s="9"/>
      <c r="F29" s="9"/>
      <c r="G29" s="9"/>
      <c r="H29" s="9"/>
    </row>
    <row r="30" spans="1:8">
      <c r="A30" s="2" t="s">
        <v>57</v>
      </c>
      <c r="B30" s="2" t="s">
        <v>58</v>
      </c>
      <c r="C30" s="2" t="s">
        <v>6</v>
      </c>
      <c r="D30" s="2" t="s">
        <v>37</v>
      </c>
    </row>
    <row r="31" spans="1:8" ht="196">
      <c r="A31" s="3" t="s">
        <v>59</v>
      </c>
      <c r="B31" s="3" t="s">
        <v>60</v>
      </c>
      <c r="C31" s="3" t="s">
        <v>61</v>
      </c>
      <c r="D31" s="3" t="s">
        <v>62</v>
      </c>
    </row>
    <row r="32" spans="1:8" ht="196">
      <c r="A32" s="3" t="s">
        <v>63</v>
      </c>
      <c r="B32" s="3" t="s">
        <v>64</v>
      </c>
      <c r="C32" s="3" t="s">
        <v>65</v>
      </c>
      <c r="D32" s="3" t="s">
        <v>66</v>
      </c>
    </row>
    <row r="33" spans="1:4" ht="182">
      <c r="A33" s="3" t="s">
        <v>67</v>
      </c>
      <c r="B33" s="3" t="s">
        <v>68</v>
      </c>
      <c r="C33" s="3" t="s">
        <v>69</v>
      </c>
      <c r="D33" s="3" t="s">
        <v>70</v>
      </c>
    </row>
    <row r="34" spans="1:4" ht="126">
      <c r="A34" s="3" t="s">
        <v>71</v>
      </c>
      <c r="B34" s="3" t="s">
        <v>72</v>
      </c>
      <c r="C34" s="3" t="s">
        <v>73</v>
      </c>
      <c r="D34" s="3" t="s">
        <v>74</v>
      </c>
    </row>
  </sheetData>
  <mergeCells count="7">
    <mergeCell ref="A4:H4"/>
    <mergeCell ref="A21:H21"/>
    <mergeCell ref="A29:H29"/>
    <mergeCell ref="A16:H16"/>
    <mergeCell ref="A2:H2"/>
    <mergeCell ref="A11:H1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8E68-6958-424C-8D28-FDCCA0957343}">
  <dimension ref="A1:L132"/>
  <sheetViews>
    <sheetView topLeftCell="A108" workbookViewId="0">
      <selection activeCell="I98" sqref="I98"/>
    </sheetView>
  </sheetViews>
  <sheetFormatPr baseColWidth="10" defaultRowHeight="15"/>
  <cols>
    <col min="1" max="1" width="37.33203125" customWidth="1"/>
    <col min="2" max="2" width="11" bestFit="1" customWidth="1"/>
    <col min="3" max="4" width="13.5" bestFit="1" customWidth="1"/>
    <col min="5" max="5" width="11" bestFit="1" customWidth="1"/>
    <col min="6" max="7" width="11.1640625" bestFit="1" customWidth="1"/>
    <col min="8" max="12" width="11" bestFit="1" customWidth="1"/>
  </cols>
  <sheetData>
    <row r="1" spans="1:12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17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>
      <c r="A4" s="1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>
      <c r="A5" s="17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8" t="s">
        <v>77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9" t="s">
        <v>78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20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>
      <c r="A11" s="19" t="s">
        <v>80</v>
      </c>
      <c r="B11" s="19" t="s">
        <v>81</v>
      </c>
      <c r="C11" s="19" t="s">
        <v>82</v>
      </c>
      <c r="D11" s="19" t="s">
        <v>83</v>
      </c>
      <c r="E11" s="19" t="s">
        <v>84</v>
      </c>
      <c r="F11" s="19" t="s">
        <v>85</v>
      </c>
      <c r="G11" s="19" t="s">
        <v>86</v>
      </c>
      <c r="H11" s="19" t="s">
        <v>87</v>
      </c>
      <c r="I11" s="19" t="s">
        <v>88</v>
      </c>
      <c r="J11" s="19" t="s">
        <v>89</v>
      </c>
      <c r="K11" s="19" t="s">
        <v>90</v>
      </c>
      <c r="L11" s="19" t="s">
        <v>91</v>
      </c>
    </row>
    <row r="12" spans="1:12">
      <c r="A12" s="21">
        <v>46235</v>
      </c>
      <c r="B12" s="22">
        <v>3832</v>
      </c>
      <c r="C12" s="22">
        <v>6603378</v>
      </c>
      <c r="D12" s="22">
        <v>4461472</v>
      </c>
      <c r="E12" s="23">
        <v>0.67559999999999998</v>
      </c>
      <c r="F12" s="24">
        <v>1723.2</v>
      </c>
      <c r="G12" s="24">
        <v>2076.1999999999998</v>
      </c>
      <c r="H12" s="23">
        <v>0.17</v>
      </c>
      <c r="I12" s="17">
        <v>1.22</v>
      </c>
      <c r="J12" s="23">
        <v>0.35299999999999998</v>
      </c>
      <c r="K12" s="23">
        <v>0.36399999999999999</v>
      </c>
      <c r="L12" s="23">
        <v>0.625</v>
      </c>
    </row>
    <row r="13" spans="1:12">
      <c r="A13" s="21">
        <v>46236</v>
      </c>
      <c r="B13" s="22">
        <v>3066</v>
      </c>
      <c r="C13" s="22">
        <v>5164417</v>
      </c>
      <c r="D13" s="22">
        <v>3545917</v>
      </c>
      <c r="E13" s="23">
        <v>0.68659999999999999</v>
      </c>
      <c r="F13" s="24">
        <v>1684.4</v>
      </c>
      <c r="G13" s="24">
        <v>2014</v>
      </c>
      <c r="H13" s="23">
        <v>0.16400000000000001</v>
      </c>
      <c r="I13" s="17">
        <v>1.2</v>
      </c>
      <c r="J13" s="23">
        <v>0.35599999999999998</v>
      </c>
      <c r="K13" s="23">
        <v>0.35899999999999999</v>
      </c>
      <c r="L13" s="23">
        <v>0.60399999999999998</v>
      </c>
    </row>
    <row r="14" spans="1:12">
      <c r="A14" s="21">
        <v>46237</v>
      </c>
      <c r="B14" s="22">
        <v>3247</v>
      </c>
      <c r="C14" s="22">
        <v>5678955</v>
      </c>
      <c r="D14" s="22">
        <v>3827524</v>
      </c>
      <c r="E14" s="23">
        <v>0.67400000000000004</v>
      </c>
      <c r="F14" s="24">
        <v>1749</v>
      </c>
      <c r="G14" s="24">
        <v>2090.5</v>
      </c>
      <c r="H14" s="23">
        <v>0.161</v>
      </c>
      <c r="I14" s="17">
        <v>1.19</v>
      </c>
      <c r="J14" s="23">
        <v>0.34200000000000003</v>
      </c>
      <c r="K14" s="23">
        <v>0.377</v>
      </c>
      <c r="L14" s="23">
        <v>0.58799999999999997</v>
      </c>
    </row>
    <row r="15" spans="1:12">
      <c r="A15" s="21">
        <v>46238</v>
      </c>
      <c r="B15" s="22">
        <v>3177</v>
      </c>
      <c r="C15" s="22">
        <v>5187452</v>
      </c>
      <c r="D15" s="22">
        <v>3558234</v>
      </c>
      <c r="E15" s="23">
        <v>0.68589999999999995</v>
      </c>
      <c r="F15" s="24">
        <v>1632.8</v>
      </c>
      <c r="G15" s="24">
        <v>1956</v>
      </c>
      <c r="H15" s="23">
        <v>0.161</v>
      </c>
      <c r="I15" s="17">
        <v>1.18</v>
      </c>
      <c r="J15" s="23">
        <v>0.34100000000000003</v>
      </c>
      <c r="K15" s="23">
        <v>0.374</v>
      </c>
      <c r="L15" s="23">
        <v>0.57599999999999996</v>
      </c>
    </row>
    <row r="16" spans="1:12">
      <c r="A16" s="21">
        <v>46239</v>
      </c>
      <c r="B16" s="22">
        <v>3259</v>
      </c>
      <c r="C16" s="22">
        <v>5410771</v>
      </c>
      <c r="D16" s="22">
        <v>3652777</v>
      </c>
      <c r="E16" s="23">
        <v>0.67510000000000003</v>
      </c>
      <c r="F16" s="24">
        <v>1660.3</v>
      </c>
      <c r="G16" s="24">
        <v>1994.5</v>
      </c>
      <c r="H16" s="23">
        <v>0.16300000000000001</v>
      </c>
      <c r="I16" s="17">
        <v>1.19</v>
      </c>
      <c r="J16" s="23">
        <v>0.33400000000000002</v>
      </c>
      <c r="K16" s="23">
        <v>0.38500000000000001</v>
      </c>
      <c r="L16" s="23">
        <v>0.60299999999999998</v>
      </c>
    </row>
    <row r="17" spans="1:12">
      <c r="A17" s="21">
        <v>46240</v>
      </c>
      <c r="B17" s="22">
        <v>3136</v>
      </c>
      <c r="C17" s="22">
        <v>5081903</v>
      </c>
      <c r="D17" s="22">
        <v>3481700</v>
      </c>
      <c r="E17" s="23">
        <v>0.68510000000000004</v>
      </c>
      <c r="F17" s="24">
        <v>1620.5</v>
      </c>
      <c r="G17" s="24">
        <v>1948</v>
      </c>
      <c r="H17" s="23">
        <v>0.161</v>
      </c>
      <c r="I17" s="17">
        <v>1.19</v>
      </c>
      <c r="J17" s="23">
        <v>0.32900000000000001</v>
      </c>
      <c r="K17" s="23">
        <v>0.38600000000000001</v>
      </c>
      <c r="L17" s="23">
        <v>0.58699999999999997</v>
      </c>
    </row>
    <row r="18" spans="1:12">
      <c r="A18" s="21">
        <v>46241</v>
      </c>
      <c r="B18" s="22">
        <v>3037</v>
      </c>
      <c r="C18" s="22">
        <v>5135700</v>
      </c>
      <c r="D18" s="22">
        <v>3473987</v>
      </c>
      <c r="E18" s="23">
        <v>0.6764</v>
      </c>
      <c r="F18" s="24">
        <v>1691</v>
      </c>
      <c r="G18" s="24">
        <v>2033</v>
      </c>
      <c r="H18" s="23">
        <v>0.16400000000000001</v>
      </c>
      <c r="I18" s="17">
        <v>1.19</v>
      </c>
      <c r="J18" s="23">
        <v>0.34599999999999997</v>
      </c>
      <c r="K18" s="23">
        <v>0.376</v>
      </c>
      <c r="L18" s="23">
        <v>0.60699999999999998</v>
      </c>
    </row>
    <row r="19" spans="1:12">
      <c r="A19" s="21">
        <v>46242</v>
      </c>
      <c r="B19" s="22">
        <v>3883</v>
      </c>
      <c r="C19" s="22">
        <v>6558757</v>
      </c>
      <c r="D19" s="22">
        <v>4379312</v>
      </c>
      <c r="E19" s="23">
        <v>0.66769999999999996</v>
      </c>
      <c r="F19" s="24">
        <v>1689.1</v>
      </c>
      <c r="G19" s="24">
        <v>2032.9</v>
      </c>
      <c r="H19" s="23">
        <v>0.16300000000000001</v>
      </c>
      <c r="I19" s="17">
        <v>1.23</v>
      </c>
      <c r="J19" s="23">
        <v>0.34799999999999998</v>
      </c>
      <c r="K19" s="23">
        <v>0.37</v>
      </c>
      <c r="L19" s="23">
        <v>0.61</v>
      </c>
    </row>
    <row r="20" spans="1:12">
      <c r="A20" s="21">
        <v>46243</v>
      </c>
      <c r="B20" s="22">
        <v>3219</v>
      </c>
      <c r="C20" s="22">
        <v>5241066</v>
      </c>
      <c r="D20" s="22">
        <v>3562264</v>
      </c>
      <c r="E20" s="23">
        <v>0.67969999999999997</v>
      </c>
      <c r="F20" s="24">
        <v>1628.2</v>
      </c>
      <c r="G20" s="24">
        <v>1941.5</v>
      </c>
      <c r="H20" s="23">
        <v>0.159</v>
      </c>
      <c r="I20" s="17">
        <v>1.2</v>
      </c>
      <c r="J20" s="23">
        <v>0.34300000000000003</v>
      </c>
      <c r="K20" s="23">
        <v>0.36299999999999999</v>
      </c>
      <c r="L20" s="23">
        <v>0.58799999999999997</v>
      </c>
    </row>
    <row r="21" spans="1:12">
      <c r="A21" s="21">
        <v>46244</v>
      </c>
      <c r="B21" s="22">
        <v>3269</v>
      </c>
      <c r="C21" s="22">
        <v>5285064</v>
      </c>
      <c r="D21" s="22">
        <v>3665726</v>
      </c>
      <c r="E21" s="23">
        <v>0.69359999999999999</v>
      </c>
      <c r="F21" s="24">
        <v>1616.7</v>
      </c>
      <c r="G21" s="24">
        <v>1931.7</v>
      </c>
      <c r="H21" s="23">
        <v>0.16</v>
      </c>
      <c r="I21" s="17">
        <v>1.17</v>
      </c>
      <c r="J21" s="23">
        <v>0.33100000000000002</v>
      </c>
      <c r="K21" s="23">
        <v>0.38</v>
      </c>
      <c r="L21" s="23">
        <v>0.58299999999999996</v>
      </c>
    </row>
    <row r="22" spans="1:12">
      <c r="A22" s="21">
        <v>46245</v>
      </c>
      <c r="B22" s="22">
        <v>3113</v>
      </c>
      <c r="C22" s="22">
        <v>5178165</v>
      </c>
      <c r="D22" s="22">
        <v>3639747</v>
      </c>
      <c r="E22" s="25">
        <v>0.70289999999999997</v>
      </c>
      <c r="F22" s="24">
        <v>1663.4</v>
      </c>
      <c r="G22" s="24">
        <v>2007.2</v>
      </c>
      <c r="H22" s="23">
        <v>0.16400000000000001</v>
      </c>
      <c r="I22" s="17">
        <v>1.18</v>
      </c>
      <c r="J22" s="23">
        <v>0.34599999999999997</v>
      </c>
      <c r="K22" s="23">
        <v>0.36299999999999999</v>
      </c>
      <c r="L22" s="23">
        <v>0.59699999999999998</v>
      </c>
    </row>
    <row r="23" spans="1:12">
      <c r="A23" s="21">
        <v>46246</v>
      </c>
      <c r="B23" s="22">
        <v>3287</v>
      </c>
      <c r="C23" s="22">
        <v>5363249</v>
      </c>
      <c r="D23" s="22">
        <v>3760658</v>
      </c>
      <c r="E23" s="25">
        <v>0.70120000000000005</v>
      </c>
      <c r="F23" s="24">
        <v>1631.7</v>
      </c>
      <c r="G23" s="24">
        <v>1981.9</v>
      </c>
      <c r="H23" s="23">
        <v>0.16900000000000001</v>
      </c>
      <c r="I23" s="17">
        <v>1.17</v>
      </c>
      <c r="J23" s="23">
        <v>0.32400000000000001</v>
      </c>
      <c r="K23" s="23">
        <v>0.38300000000000001</v>
      </c>
      <c r="L23" s="23">
        <v>0.60899999999999999</v>
      </c>
    </row>
    <row r="24" spans="1:12">
      <c r="A24" s="21">
        <v>46247</v>
      </c>
      <c r="B24" s="22">
        <v>3104</v>
      </c>
      <c r="C24" s="22">
        <v>5080505</v>
      </c>
      <c r="D24" s="22">
        <v>3570404</v>
      </c>
      <c r="E24" s="25">
        <v>0.70279999999999998</v>
      </c>
      <c r="F24" s="24">
        <v>1636.8</v>
      </c>
      <c r="G24" s="24">
        <v>1991</v>
      </c>
      <c r="H24" s="23">
        <v>0.16700000000000001</v>
      </c>
      <c r="I24" s="17">
        <v>1.1499999999999999</v>
      </c>
      <c r="J24" s="23">
        <v>0.34100000000000003</v>
      </c>
      <c r="K24" s="23">
        <v>0.36599999999999999</v>
      </c>
      <c r="L24" s="23">
        <v>0.61799999999999999</v>
      </c>
    </row>
    <row r="25" spans="1:12">
      <c r="A25" s="21">
        <v>46248</v>
      </c>
      <c r="B25" s="22">
        <v>3000</v>
      </c>
      <c r="C25" s="22">
        <v>4842187</v>
      </c>
      <c r="D25" s="22">
        <v>3375792</v>
      </c>
      <c r="E25" s="23">
        <v>0.69720000000000004</v>
      </c>
      <c r="F25" s="24">
        <v>1614.1</v>
      </c>
      <c r="G25" s="24">
        <v>1970.3</v>
      </c>
      <c r="H25" s="23">
        <v>0.17199999999999999</v>
      </c>
      <c r="I25" s="17">
        <v>1.17</v>
      </c>
      <c r="J25" s="23">
        <v>0.32900000000000001</v>
      </c>
      <c r="K25" s="23">
        <v>0.36399999999999999</v>
      </c>
      <c r="L25" s="23">
        <v>0.628</v>
      </c>
    </row>
    <row r="26" spans="1:12">
      <c r="A26" s="21">
        <v>46249</v>
      </c>
      <c r="B26" s="22">
        <v>3327</v>
      </c>
      <c r="C26" s="22">
        <v>5680191</v>
      </c>
      <c r="D26" s="22">
        <v>3943832</v>
      </c>
      <c r="E26" s="23">
        <v>0.69430000000000003</v>
      </c>
      <c r="F26" s="24">
        <v>1707.3</v>
      </c>
      <c r="G26" s="24">
        <v>2094.1</v>
      </c>
      <c r="H26" s="23">
        <v>0.17599999999999999</v>
      </c>
      <c r="I26" s="17">
        <v>1.21</v>
      </c>
      <c r="J26" s="23">
        <v>0.35099999999999998</v>
      </c>
      <c r="K26" s="23">
        <v>0.35099999999999998</v>
      </c>
      <c r="L26" s="23">
        <v>0.65100000000000002</v>
      </c>
    </row>
    <row r="27" spans="1:12">
      <c r="A27" s="21">
        <v>46250</v>
      </c>
      <c r="B27" s="22">
        <v>2745</v>
      </c>
      <c r="C27" s="22">
        <v>4490036</v>
      </c>
      <c r="D27" s="22">
        <v>3159204</v>
      </c>
      <c r="E27" s="25">
        <v>0.7036</v>
      </c>
      <c r="F27" s="24">
        <v>1635.7</v>
      </c>
      <c r="G27" s="24">
        <v>1945</v>
      </c>
      <c r="H27" s="23">
        <v>0.157</v>
      </c>
      <c r="I27" s="17">
        <v>1.18</v>
      </c>
      <c r="J27" s="23">
        <v>0.33600000000000002</v>
      </c>
      <c r="K27" s="23">
        <v>0.377</v>
      </c>
      <c r="L27" s="23">
        <v>0.58899999999999997</v>
      </c>
    </row>
    <row r="28" spans="1:12">
      <c r="A28" s="20" t="s">
        <v>92</v>
      </c>
      <c r="B28" s="20">
        <v>898</v>
      </c>
      <c r="C28" s="26">
        <v>1330989</v>
      </c>
      <c r="D28" s="26">
        <v>974976</v>
      </c>
      <c r="E28" s="27">
        <v>0.73250000000000004</v>
      </c>
      <c r="F28" s="28">
        <v>1482.2</v>
      </c>
      <c r="G28" s="28">
        <v>1707.5</v>
      </c>
      <c r="H28" s="27">
        <v>0.14499999999999999</v>
      </c>
      <c r="I28" s="20">
        <v>1.1499999999999999</v>
      </c>
      <c r="J28" s="27">
        <v>0.34499999999999997</v>
      </c>
      <c r="K28" s="27">
        <v>0.379</v>
      </c>
      <c r="L28" s="27">
        <v>0.52300000000000002</v>
      </c>
    </row>
    <row r="29" spans="1:12">
      <c r="A29" s="19" t="s">
        <v>93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>
      <c r="A30" s="14" t="s">
        <v>157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>
      <c r="A31" s="17" t="s">
        <v>158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>
      <c r="A32" s="17" t="s">
        <v>94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>
      <c r="A33" s="14" t="s">
        <v>159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>
      <c r="A34" s="17" t="s">
        <v>160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>
      <c r="A35" s="14" t="s">
        <v>161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>
      <c r="A38" s="18" t="s">
        <v>95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>
      <c r="A39" s="17" t="s">
        <v>162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>
      <c r="A40" s="19" t="s">
        <v>163</v>
      </c>
      <c r="B40" s="19" t="s">
        <v>81</v>
      </c>
      <c r="C40" s="19" t="s">
        <v>96</v>
      </c>
      <c r="D40" s="19" t="s">
        <v>82</v>
      </c>
      <c r="E40" s="19" t="s">
        <v>84</v>
      </c>
      <c r="F40" s="19" t="s">
        <v>85</v>
      </c>
      <c r="G40" s="19" t="s">
        <v>86</v>
      </c>
      <c r="H40" s="19" t="s">
        <v>97</v>
      </c>
      <c r="I40" s="19" t="s">
        <v>88</v>
      </c>
      <c r="J40" s="19" t="s">
        <v>91</v>
      </c>
      <c r="K40" s="19" t="s">
        <v>98</v>
      </c>
      <c r="L40" s="19" t="s">
        <v>99</v>
      </c>
    </row>
    <row r="41" spans="1:12">
      <c r="A41" s="14" t="s">
        <v>100</v>
      </c>
      <c r="B41" s="29">
        <v>19034</v>
      </c>
      <c r="C41" s="25">
        <v>0.36799999999999999</v>
      </c>
      <c r="D41" s="30">
        <v>30716663</v>
      </c>
      <c r="E41" s="25">
        <v>0.6905</v>
      </c>
      <c r="F41" s="31">
        <v>1613.8</v>
      </c>
      <c r="G41" s="24">
        <v>1984.7</v>
      </c>
      <c r="H41" s="23">
        <v>0.188</v>
      </c>
      <c r="I41" s="17">
        <v>1.21</v>
      </c>
      <c r="J41" s="23">
        <v>0.48799999999999999</v>
      </c>
      <c r="K41" s="25">
        <v>0.99099999999999999</v>
      </c>
      <c r="L41" s="23">
        <v>0.46300000000000002</v>
      </c>
    </row>
    <row r="42" spans="1:12">
      <c r="A42" s="14" t="s">
        <v>101</v>
      </c>
      <c r="B42" s="29">
        <v>13975</v>
      </c>
      <c r="C42" s="25">
        <v>0.27</v>
      </c>
      <c r="D42" s="30">
        <v>23518994</v>
      </c>
      <c r="E42" s="25">
        <v>0.67849999999999999</v>
      </c>
      <c r="F42" s="31">
        <v>1682.9</v>
      </c>
      <c r="G42" s="24">
        <v>2003.8</v>
      </c>
      <c r="H42" s="23">
        <v>0.14099999999999999</v>
      </c>
      <c r="I42" s="17">
        <v>1.19</v>
      </c>
      <c r="J42" s="25">
        <v>0.71199999999999997</v>
      </c>
      <c r="K42" s="23">
        <v>4.0000000000000001E-3</v>
      </c>
      <c r="L42" s="25">
        <v>0.20300000000000001</v>
      </c>
    </row>
    <row r="43" spans="1:12">
      <c r="A43" s="14" t="s">
        <v>102</v>
      </c>
      <c r="B43" s="29">
        <v>8928</v>
      </c>
      <c r="C43" s="25">
        <v>0.17299999999999999</v>
      </c>
      <c r="D43" s="30">
        <v>14755635</v>
      </c>
      <c r="E43" s="25">
        <v>0.69479999999999997</v>
      </c>
      <c r="F43" s="31">
        <v>1652.7</v>
      </c>
      <c r="G43" s="24">
        <v>1979.8</v>
      </c>
      <c r="H43" s="23">
        <v>0.16800000000000001</v>
      </c>
      <c r="I43" s="17">
        <v>1.17</v>
      </c>
      <c r="J43" s="23">
        <v>0.63200000000000001</v>
      </c>
      <c r="K43" s="25">
        <v>1</v>
      </c>
      <c r="L43" s="23">
        <v>0.53700000000000003</v>
      </c>
    </row>
    <row r="44" spans="1:12">
      <c r="A44" s="14" t="s">
        <v>103</v>
      </c>
      <c r="B44" s="29">
        <v>6111</v>
      </c>
      <c r="C44" s="25">
        <v>0.11799999999999999</v>
      </c>
      <c r="D44" s="30">
        <v>8501065</v>
      </c>
      <c r="E44" s="25">
        <v>0.68889999999999996</v>
      </c>
      <c r="F44" s="31">
        <v>1391.1</v>
      </c>
      <c r="G44" s="24">
        <v>1655.2</v>
      </c>
      <c r="H44" s="23">
        <v>0.13100000000000001</v>
      </c>
      <c r="I44" s="17">
        <v>1.1599999999999999</v>
      </c>
      <c r="J44" s="23">
        <v>0.65900000000000003</v>
      </c>
      <c r="K44" s="23">
        <v>0.02</v>
      </c>
      <c r="L44" s="23">
        <v>0.33</v>
      </c>
    </row>
    <row r="45" spans="1:12">
      <c r="A45" s="14" t="s">
        <v>104</v>
      </c>
      <c r="B45" s="29">
        <v>3507</v>
      </c>
      <c r="C45" s="25">
        <v>6.8000000000000005E-2</v>
      </c>
      <c r="D45" s="30">
        <v>7810161</v>
      </c>
      <c r="E45" s="25">
        <v>0.68210000000000004</v>
      </c>
      <c r="F45" s="31">
        <v>2227</v>
      </c>
      <c r="G45" s="24">
        <v>2620.1999999999998</v>
      </c>
      <c r="H45" s="23">
        <v>0.17799999999999999</v>
      </c>
      <c r="I45" s="17">
        <v>1.1599999999999999</v>
      </c>
      <c r="J45" s="23">
        <v>0.629</v>
      </c>
      <c r="K45" s="23">
        <v>0.999</v>
      </c>
      <c r="L45" s="25">
        <v>0.71</v>
      </c>
    </row>
    <row r="46" spans="1:12">
      <c r="A46" s="14" t="s">
        <v>105</v>
      </c>
      <c r="B46" s="14">
        <v>146</v>
      </c>
      <c r="C46" s="25">
        <v>3.0000000000000001E-3</v>
      </c>
      <c r="D46" s="30">
        <v>679278</v>
      </c>
      <c r="E46" s="25">
        <v>0.6704</v>
      </c>
      <c r="F46" s="31">
        <v>4652.6000000000004</v>
      </c>
      <c r="G46" s="24">
        <v>5306.5</v>
      </c>
      <c r="H46" s="23">
        <v>0.218</v>
      </c>
      <c r="I46" s="14">
        <v>1.44</v>
      </c>
      <c r="J46" s="25">
        <v>0.76</v>
      </c>
      <c r="K46" s="23">
        <v>0.98599999999999999</v>
      </c>
      <c r="L46" s="23">
        <v>0.253</v>
      </c>
    </row>
    <row r="47" spans="1:12">
      <c r="A47" s="19" t="s">
        <v>106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>
      <c r="A48" s="14" t="s">
        <v>164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2">
      <c r="A49" s="14" t="s">
        <v>165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>
      <c r="A50" s="20" t="s">
        <v>166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>
      <c r="A51" s="14" t="s">
        <v>167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>
      <c r="A52" s="17" t="s">
        <v>168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>
      <c r="A53" s="17" t="s">
        <v>169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>
      <c r="A54" s="14" t="s">
        <v>170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>
      <c r="A55" s="17" t="s">
        <v>171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>
      <c r="A58" s="18" t="s">
        <v>172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>
      <c r="A59" s="19" t="s">
        <v>107</v>
      </c>
      <c r="B59" s="19" t="s">
        <v>81</v>
      </c>
      <c r="C59" s="19" t="s">
        <v>96</v>
      </c>
      <c r="D59" s="19" t="s">
        <v>82</v>
      </c>
      <c r="E59" s="19" t="s">
        <v>84</v>
      </c>
      <c r="F59" s="19" t="s">
        <v>85</v>
      </c>
      <c r="G59" s="19" t="s">
        <v>97</v>
      </c>
      <c r="H59" s="19" t="s">
        <v>91</v>
      </c>
      <c r="I59" s="19" t="s">
        <v>90</v>
      </c>
      <c r="J59" s="15"/>
      <c r="K59" s="15"/>
      <c r="L59" s="15"/>
    </row>
    <row r="60" spans="1:12">
      <c r="A60" s="14" t="s">
        <v>108</v>
      </c>
      <c r="B60" s="29">
        <v>22109</v>
      </c>
      <c r="C60" s="25">
        <v>0.42799999999999999</v>
      </c>
      <c r="D60" s="30">
        <v>42550966</v>
      </c>
      <c r="E60" s="25">
        <v>0.6623</v>
      </c>
      <c r="F60" s="31">
        <v>1924.6</v>
      </c>
      <c r="G60" s="23">
        <v>0.16500000000000001</v>
      </c>
      <c r="H60" s="25">
        <v>0.69899999999999995</v>
      </c>
      <c r="I60" s="23">
        <v>0.25</v>
      </c>
      <c r="J60" s="15"/>
      <c r="K60" s="15"/>
      <c r="L60" s="15"/>
    </row>
    <row r="61" spans="1:12">
      <c r="A61" s="14" t="s">
        <v>109</v>
      </c>
      <c r="B61" s="29">
        <v>20994</v>
      </c>
      <c r="C61" s="25">
        <v>0.40600000000000003</v>
      </c>
      <c r="D61" s="30">
        <v>30766102</v>
      </c>
      <c r="E61" s="25">
        <v>0.71540000000000004</v>
      </c>
      <c r="F61" s="31">
        <v>1465.5</v>
      </c>
      <c r="G61" s="23">
        <v>0.17199999999999999</v>
      </c>
      <c r="H61" s="23">
        <v>0.56499999999999995</v>
      </c>
      <c r="I61" s="25">
        <v>0.42199999999999999</v>
      </c>
      <c r="J61" s="15"/>
      <c r="K61" s="15"/>
      <c r="L61" s="15"/>
    </row>
    <row r="62" spans="1:12">
      <c r="A62" s="14" t="s">
        <v>110</v>
      </c>
      <c r="B62" s="29">
        <v>7852</v>
      </c>
      <c r="C62" s="25">
        <v>0.152</v>
      </c>
      <c r="D62" s="30">
        <v>12664664</v>
      </c>
      <c r="E62" s="25">
        <v>0.7107</v>
      </c>
      <c r="F62" s="31">
        <v>1612.9</v>
      </c>
      <c r="G62" s="23">
        <v>0.159</v>
      </c>
      <c r="H62" s="23">
        <v>0.49</v>
      </c>
      <c r="I62" s="25">
        <v>0.58099999999999996</v>
      </c>
      <c r="J62" s="15"/>
      <c r="K62" s="15"/>
      <c r="L62" s="15"/>
    </row>
    <row r="63" spans="1:12">
      <c r="A63" s="32" t="s">
        <v>111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>
      <c r="A64" s="32" t="s">
        <v>112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>
      <c r="A65" s="32" t="s">
        <v>113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>
      <c r="A66" s="32" t="s">
        <v>75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>
      <c r="A67" s="32" t="s">
        <v>76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>
      <c r="A70" s="19" t="s">
        <v>114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>
      <c r="A71" s="14" t="s">
        <v>173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>
      <c r="A72" s="17" t="s">
        <v>174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>
      <c r="A73" s="14" t="s">
        <v>175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spans="1:12">
      <c r="A74" s="17" t="s">
        <v>176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1:12">
      <c r="A75" s="14" t="s">
        <v>177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1:12">
      <c r="A76" s="17" t="s">
        <v>178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1:1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>
      <c r="A79" s="18" t="s">
        <v>179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>
      <c r="A80" s="17" t="s">
        <v>180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>
      <c r="A81" s="19" t="s">
        <v>115</v>
      </c>
      <c r="B81" s="19" t="s">
        <v>116</v>
      </c>
      <c r="C81" s="19" t="s">
        <v>181</v>
      </c>
      <c r="D81" s="19" t="s">
        <v>117</v>
      </c>
      <c r="E81" s="15"/>
      <c r="F81" s="15"/>
      <c r="G81" s="15"/>
      <c r="H81" s="15"/>
      <c r="I81" s="15"/>
      <c r="J81" s="15"/>
      <c r="K81" s="15"/>
      <c r="L81" s="15"/>
    </row>
    <row r="82" spans="1:12">
      <c r="A82" s="33" t="s">
        <v>118</v>
      </c>
      <c r="B82" s="33" t="s">
        <v>119</v>
      </c>
      <c r="C82" s="34">
        <f>0.709+0.709</f>
        <v>1.4179999999999999</v>
      </c>
      <c r="D82" s="14" t="s">
        <v>182</v>
      </c>
      <c r="E82" s="15"/>
      <c r="F82" s="15"/>
      <c r="G82" s="15"/>
      <c r="H82" s="15"/>
      <c r="I82" s="15"/>
      <c r="J82" s="15"/>
      <c r="K82" s="15"/>
      <c r="L82" s="15"/>
    </row>
    <row r="83" spans="1:12">
      <c r="A83" s="33" t="s">
        <v>120</v>
      </c>
      <c r="B83" s="33" t="s">
        <v>119</v>
      </c>
      <c r="C83" s="34">
        <f>0.648+0.648</f>
        <v>1.296</v>
      </c>
      <c r="D83" s="14" t="s">
        <v>183</v>
      </c>
      <c r="E83" s="15"/>
      <c r="F83" s="15"/>
      <c r="G83" s="15"/>
      <c r="H83" s="15"/>
      <c r="I83" s="15"/>
      <c r="J83" s="15"/>
      <c r="K83" s="15"/>
      <c r="L83" s="15"/>
    </row>
    <row r="84" spans="1:12">
      <c r="A84" s="33" t="s">
        <v>121</v>
      </c>
      <c r="B84" s="33" t="s">
        <v>122</v>
      </c>
      <c r="C84" s="34" t="s">
        <v>123</v>
      </c>
      <c r="D84" s="14" t="s">
        <v>184</v>
      </c>
      <c r="E84" s="15"/>
      <c r="F84" s="15"/>
      <c r="G84" s="15"/>
      <c r="H84" s="15"/>
      <c r="I84" s="15"/>
      <c r="J84" s="15"/>
      <c r="K84" s="15"/>
      <c r="L84" s="15"/>
    </row>
    <row r="85" spans="1:12">
      <c r="A85" s="33" t="s">
        <v>118</v>
      </c>
      <c r="B85" s="33" t="s">
        <v>122</v>
      </c>
      <c r="C85" s="34" t="s">
        <v>124</v>
      </c>
      <c r="D85" s="14" t="s">
        <v>185</v>
      </c>
      <c r="E85" s="15"/>
      <c r="F85" s="15"/>
      <c r="G85" s="15"/>
      <c r="H85" s="15"/>
      <c r="I85" s="15"/>
      <c r="J85" s="15"/>
      <c r="K85" s="15"/>
      <c r="L85" s="15"/>
    </row>
    <row r="86" spans="1:12">
      <c r="A86" s="33" t="s">
        <v>125</v>
      </c>
      <c r="B86" s="33" t="s">
        <v>119</v>
      </c>
      <c r="C86" s="34" t="s">
        <v>126</v>
      </c>
      <c r="D86" s="14" t="s">
        <v>186</v>
      </c>
      <c r="E86" s="15"/>
      <c r="F86" s="15"/>
      <c r="G86" s="15"/>
      <c r="H86" s="15"/>
      <c r="I86" s="15"/>
      <c r="J86" s="15"/>
      <c r="K86" s="15"/>
      <c r="L86" s="15"/>
    </row>
    <row r="87" spans="1:12">
      <c r="A87" s="33" t="s">
        <v>127</v>
      </c>
      <c r="B87" s="33" t="s">
        <v>122</v>
      </c>
      <c r="C87" s="34">
        <f>0.108+0.108</f>
        <v>0.216</v>
      </c>
      <c r="D87" s="14" t="s">
        <v>187</v>
      </c>
      <c r="E87" s="15"/>
      <c r="F87" s="15"/>
      <c r="G87" s="15"/>
      <c r="H87" s="15"/>
      <c r="I87" s="15"/>
      <c r="J87" s="15"/>
      <c r="K87" s="15"/>
      <c r="L87" s="15"/>
    </row>
    <row r="88" spans="1:1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1:1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1:12">
      <c r="A90" s="18" t="s">
        <v>128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spans="1:12">
      <c r="A91" s="19" t="s">
        <v>129</v>
      </c>
      <c r="B91" s="19" t="s">
        <v>81</v>
      </c>
      <c r="C91" s="19" t="s">
        <v>82</v>
      </c>
      <c r="D91" s="19" t="s">
        <v>84</v>
      </c>
      <c r="E91" s="19" t="s">
        <v>85</v>
      </c>
      <c r="F91" s="19" t="s">
        <v>89</v>
      </c>
      <c r="G91" s="19" t="s">
        <v>90</v>
      </c>
      <c r="H91" s="19" t="s">
        <v>91</v>
      </c>
      <c r="I91" s="15"/>
      <c r="J91" s="15"/>
      <c r="K91" s="15"/>
      <c r="L91" s="15"/>
    </row>
    <row r="92" spans="1:12">
      <c r="A92" s="14" t="s">
        <v>130</v>
      </c>
      <c r="B92" s="29">
        <v>6593</v>
      </c>
      <c r="C92" s="30">
        <v>10500443</v>
      </c>
      <c r="D92" s="23">
        <v>0.69920000000000004</v>
      </c>
      <c r="E92" s="24">
        <v>1592.7</v>
      </c>
      <c r="F92" s="23">
        <v>0.33</v>
      </c>
      <c r="G92" s="23">
        <v>0.39300000000000002</v>
      </c>
      <c r="H92" s="23">
        <v>0.59499999999999997</v>
      </c>
      <c r="I92" s="15"/>
      <c r="J92" s="15"/>
      <c r="K92" s="15"/>
      <c r="L92" s="15"/>
    </row>
    <row r="93" spans="1:12">
      <c r="A93" s="14" t="s">
        <v>131</v>
      </c>
      <c r="B93" s="29">
        <v>3903</v>
      </c>
      <c r="C93" s="30">
        <v>6807643</v>
      </c>
      <c r="D93" s="23">
        <v>0.69730000000000003</v>
      </c>
      <c r="E93" s="24">
        <v>1744.2</v>
      </c>
      <c r="F93" s="23">
        <v>0.28199999999999997</v>
      </c>
      <c r="G93" s="25">
        <v>0.45</v>
      </c>
      <c r="H93" s="23">
        <v>0.59099999999999997</v>
      </c>
      <c r="I93" s="15"/>
      <c r="J93" s="15"/>
      <c r="K93" s="15"/>
      <c r="L93" s="15"/>
    </row>
    <row r="94" spans="1:12">
      <c r="A94" s="14" t="s">
        <v>132</v>
      </c>
      <c r="B94" s="29">
        <v>3358</v>
      </c>
      <c r="C94" s="30">
        <v>5950466</v>
      </c>
      <c r="D94" s="23">
        <v>0.68830000000000002</v>
      </c>
      <c r="E94" s="24">
        <v>1772</v>
      </c>
      <c r="F94" s="23">
        <v>0.32300000000000001</v>
      </c>
      <c r="G94" s="23">
        <v>0.38800000000000001</v>
      </c>
      <c r="H94" s="23">
        <v>0.61399999999999999</v>
      </c>
      <c r="I94" s="15"/>
      <c r="J94" s="15"/>
      <c r="K94" s="15"/>
      <c r="L94" s="15"/>
    </row>
    <row r="95" spans="1:12">
      <c r="A95" s="14" t="s">
        <v>133</v>
      </c>
      <c r="B95" s="29">
        <v>2515</v>
      </c>
      <c r="C95" s="30">
        <v>4382508</v>
      </c>
      <c r="D95" s="23">
        <v>0.69679999999999997</v>
      </c>
      <c r="E95" s="24">
        <v>1742.5</v>
      </c>
      <c r="F95" s="23">
        <v>0.34799999999999998</v>
      </c>
      <c r="G95" s="23">
        <v>0.35599999999999998</v>
      </c>
      <c r="H95" s="23">
        <v>0.57899999999999996</v>
      </c>
      <c r="I95" s="15"/>
      <c r="J95" s="15"/>
      <c r="K95" s="15"/>
      <c r="L95" s="15"/>
    </row>
    <row r="96" spans="1:12">
      <c r="A96" s="14" t="s">
        <v>134</v>
      </c>
      <c r="B96" s="29">
        <v>1775</v>
      </c>
      <c r="C96" s="30">
        <v>2783561</v>
      </c>
      <c r="D96" s="25">
        <v>0.71199999999999997</v>
      </c>
      <c r="E96" s="24">
        <v>1568.2</v>
      </c>
      <c r="F96" s="23">
        <v>0.30299999999999999</v>
      </c>
      <c r="G96" s="23">
        <v>0.40899999999999997</v>
      </c>
      <c r="H96" s="23">
        <v>0.59099999999999997</v>
      </c>
      <c r="I96" s="15"/>
      <c r="J96" s="15"/>
      <c r="K96" s="15"/>
      <c r="L96" s="15"/>
    </row>
    <row r="97" spans="1:12">
      <c r="A97" s="14" t="s">
        <v>135</v>
      </c>
      <c r="B97" s="29">
        <v>1586</v>
      </c>
      <c r="C97" s="30">
        <v>2640971</v>
      </c>
      <c r="D97" s="23">
        <v>0.69279999999999997</v>
      </c>
      <c r="E97" s="24">
        <v>1665.2</v>
      </c>
      <c r="F97" s="23">
        <v>0.33900000000000002</v>
      </c>
      <c r="G97" s="23">
        <v>0.36499999999999999</v>
      </c>
      <c r="H97" s="23">
        <v>0.56899999999999995</v>
      </c>
      <c r="I97" s="15"/>
      <c r="J97" s="15"/>
      <c r="K97" s="15"/>
      <c r="L97" s="15"/>
    </row>
    <row r="98" spans="1:12">
      <c r="A98" s="14" t="s">
        <v>136</v>
      </c>
      <c r="B98" s="29">
        <v>1492</v>
      </c>
      <c r="C98" s="30">
        <v>2951533</v>
      </c>
      <c r="D98" s="23">
        <v>0.66979999999999995</v>
      </c>
      <c r="E98" s="31">
        <v>1978.2</v>
      </c>
      <c r="F98" s="23">
        <v>0.33100000000000002</v>
      </c>
      <c r="G98" s="23">
        <v>0.39200000000000002</v>
      </c>
      <c r="H98" s="23">
        <v>0.61099999999999999</v>
      </c>
      <c r="I98" s="15"/>
      <c r="J98" s="15"/>
      <c r="K98" s="15"/>
      <c r="L98" s="15"/>
    </row>
    <row r="99" spans="1:12">
      <c r="A99" s="14" t="s">
        <v>137</v>
      </c>
      <c r="B99" s="29">
        <v>1490</v>
      </c>
      <c r="C99" s="30">
        <v>2454773</v>
      </c>
      <c r="D99" s="23">
        <v>0.70189999999999997</v>
      </c>
      <c r="E99" s="24">
        <v>1647.5</v>
      </c>
      <c r="F99" s="23">
        <v>0.32800000000000001</v>
      </c>
      <c r="G99" s="23">
        <v>0.379</v>
      </c>
      <c r="H99" s="23">
        <v>0.57799999999999996</v>
      </c>
      <c r="I99" s="15"/>
      <c r="J99" s="15"/>
      <c r="K99" s="15"/>
      <c r="L99" s="15"/>
    </row>
    <row r="100" spans="1:12">
      <c r="A100" s="14" t="s">
        <v>138</v>
      </c>
      <c r="B100" s="29">
        <v>1485</v>
      </c>
      <c r="C100" s="30">
        <v>2453435</v>
      </c>
      <c r="D100" s="23">
        <v>0.6905</v>
      </c>
      <c r="E100" s="24">
        <v>1652.1</v>
      </c>
      <c r="F100" s="23">
        <v>0.308</v>
      </c>
      <c r="G100" s="23">
        <v>0.40500000000000003</v>
      </c>
      <c r="H100" s="23">
        <v>0.61299999999999999</v>
      </c>
      <c r="I100" s="15"/>
      <c r="J100" s="15"/>
      <c r="K100" s="15"/>
      <c r="L100" s="15"/>
    </row>
    <row r="101" spans="1:12">
      <c r="A101" s="14" t="s">
        <v>139</v>
      </c>
      <c r="B101" s="29">
        <v>1417</v>
      </c>
      <c r="C101" s="30">
        <v>2209745</v>
      </c>
      <c r="D101" s="23">
        <v>0.70089999999999997</v>
      </c>
      <c r="E101" s="24">
        <v>1559.5</v>
      </c>
      <c r="F101" s="23">
        <v>0.31900000000000001</v>
      </c>
      <c r="G101" s="23">
        <v>0.39700000000000002</v>
      </c>
      <c r="H101" s="23">
        <v>0.60799999999999998</v>
      </c>
      <c r="I101" s="15"/>
      <c r="J101" s="15"/>
      <c r="K101" s="15"/>
      <c r="L101" s="15"/>
    </row>
    <row r="102" spans="1:12">
      <c r="A102" s="14" t="s">
        <v>140</v>
      </c>
      <c r="B102" s="29">
        <v>1398</v>
      </c>
      <c r="C102" s="30">
        <v>2493578</v>
      </c>
      <c r="D102" s="23">
        <v>0.67820000000000003</v>
      </c>
      <c r="E102" s="24">
        <v>1783.7</v>
      </c>
      <c r="F102" s="25">
        <v>0.37</v>
      </c>
      <c r="G102" s="23">
        <v>0.35299999999999998</v>
      </c>
      <c r="H102" s="25">
        <v>0.64700000000000002</v>
      </c>
      <c r="I102" s="15"/>
      <c r="J102" s="15"/>
      <c r="K102" s="15"/>
      <c r="L102" s="15"/>
    </row>
    <row r="103" spans="1:12">
      <c r="A103" s="14" t="s">
        <v>141</v>
      </c>
      <c r="B103" s="29">
        <v>1330</v>
      </c>
      <c r="C103" s="30">
        <v>1976641</v>
      </c>
      <c r="D103" s="23">
        <v>0.70589999999999997</v>
      </c>
      <c r="E103" s="24">
        <v>1486.2</v>
      </c>
      <c r="F103" s="23">
        <v>0.315</v>
      </c>
      <c r="G103" s="23">
        <v>0.40799999999999997</v>
      </c>
      <c r="H103" s="23">
        <v>0.58299999999999996</v>
      </c>
      <c r="I103" s="15"/>
      <c r="J103" s="15"/>
      <c r="K103" s="15"/>
      <c r="L103" s="15"/>
    </row>
    <row r="104" spans="1:12">
      <c r="A104" s="19" t="s">
        <v>142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>
      <c r="A105" s="14" t="s">
        <v>188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1:12">
      <c r="A106" s="14" t="s">
        <v>189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spans="1:12">
      <c r="A107" s="14" t="s">
        <v>190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spans="1:1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spans="1:1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spans="1:12">
      <c r="A110" s="18" t="s">
        <v>143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spans="1:12">
      <c r="A111" s="19" t="s">
        <v>144</v>
      </c>
      <c r="B111" s="19" t="s">
        <v>81</v>
      </c>
      <c r="C111" s="19" t="s">
        <v>82</v>
      </c>
      <c r="D111" s="19" t="s">
        <v>84</v>
      </c>
      <c r="E111" s="19" t="s">
        <v>85</v>
      </c>
      <c r="F111" s="19" t="s">
        <v>97</v>
      </c>
      <c r="G111" s="19" t="s">
        <v>88</v>
      </c>
      <c r="H111" s="19" t="s">
        <v>90</v>
      </c>
      <c r="I111" s="15"/>
      <c r="J111" s="15"/>
      <c r="K111" s="15"/>
      <c r="L111" s="15"/>
    </row>
    <row r="112" spans="1:12">
      <c r="A112" s="33" t="s">
        <v>145</v>
      </c>
      <c r="B112" s="29">
        <v>7109</v>
      </c>
      <c r="C112" s="30">
        <v>11337416</v>
      </c>
      <c r="D112" s="25">
        <v>0.69820000000000004</v>
      </c>
      <c r="E112" s="24">
        <v>1594.8</v>
      </c>
      <c r="F112" s="23">
        <v>0.20100000000000001</v>
      </c>
      <c r="G112" s="17">
        <v>1.1000000000000001</v>
      </c>
      <c r="H112" s="23">
        <v>0.33700000000000002</v>
      </c>
      <c r="I112" s="15"/>
      <c r="J112" s="15"/>
      <c r="K112" s="15"/>
      <c r="L112" s="15"/>
    </row>
    <row r="113" spans="1:12">
      <c r="A113" s="33" t="s">
        <v>146</v>
      </c>
      <c r="B113" s="29">
        <v>5374</v>
      </c>
      <c r="C113" s="30">
        <v>5797973</v>
      </c>
      <c r="D113" s="25">
        <v>0.76060000000000005</v>
      </c>
      <c r="E113" s="24">
        <v>1078.9000000000001</v>
      </c>
      <c r="F113" s="23">
        <v>0.151</v>
      </c>
      <c r="G113" s="17">
        <v>1.05</v>
      </c>
      <c r="H113" s="23">
        <v>8.4000000000000005E-2</v>
      </c>
      <c r="I113" s="15"/>
      <c r="J113" s="15"/>
      <c r="K113" s="15"/>
      <c r="L113" s="15"/>
    </row>
    <row r="114" spans="1:12">
      <c r="A114" s="33" t="s">
        <v>147</v>
      </c>
      <c r="B114" s="29">
        <v>4975</v>
      </c>
      <c r="C114" s="30">
        <v>12642984</v>
      </c>
      <c r="D114" s="25">
        <v>0.61729999999999996</v>
      </c>
      <c r="E114" s="24">
        <v>2541.3000000000002</v>
      </c>
      <c r="F114" s="23">
        <v>0.221</v>
      </c>
      <c r="G114" s="17">
        <v>1.34</v>
      </c>
      <c r="H114" s="23">
        <v>0.315</v>
      </c>
      <c r="I114" s="15"/>
      <c r="J114" s="15"/>
      <c r="K114" s="15"/>
      <c r="L114" s="15"/>
    </row>
    <row r="115" spans="1:12">
      <c r="A115" s="33" t="s">
        <v>148</v>
      </c>
      <c r="B115" s="29">
        <v>1766</v>
      </c>
      <c r="C115" s="30">
        <v>2745351</v>
      </c>
      <c r="D115" s="25">
        <v>0.70679999999999998</v>
      </c>
      <c r="E115" s="24">
        <v>1554.6</v>
      </c>
      <c r="F115" s="23">
        <v>0.19900000000000001</v>
      </c>
      <c r="G115" s="17">
        <v>1.1000000000000001</v>
      </c>
      <c r="H115" s="23">
        <v>0.32200000000000001</v>
      </c>
      <c r="I115" s="15"/>
      <c r="J115" s="15"/>
      <c r="K115" s="15"/>
      <c r="L115" s="15"/>
    </row>
    <row r="116" spans="1:12">
      <c r="A116" s="33" t="s">
        <v>149</v>
      </c>
      <c r="B116" s="29">
        <v>1480</v>
      </c>
      <c r="C116" s="30">
        <v>6481697</v>
      </c>
      <c r="D116" s="25">
        <v>0.63249999999999995</v>
      </c>
      <c r="E116" s="31">
        <v>4379.5</v>
      </c>
      <c r="F116" s="23">
        <v>0.25</v>
      </c>
      <c r="G116" s="17">
        <v>1.68</v>
      </c>
      <c r="H116" s="23">
        <v>0.34899999999999998</v>
      </c>
      <c r="I116" s="15"/>
      <c r="J116" s="15"/>
      <c r="K116" s="15"/>
      <c r="L116" s="15"/>
    </row>
    <row r="117" spans="1:12">
      <c r="A117" s="33" t="s">
        <v>150</v>
      </c>
      <c r="B117" s="29">
        <v>1311</v>
      </c>
      <c r="C117" s="30">
        <v>2148716</v>
      </c>
      <c r="D117" s="25">
        <v>0.69930000000000003</v>
      </c>
      <c r="E117" s="24">
        <v>1639</v>
      </c>
      <c r="F117" s="23">
        <v>0.20200000000000001</v>
      </c>
      <c r="G117" s="17">
        <v>1.06</v>
      </c>
      <c r="H117" s="23">
        <v>0.39800000000000002</v>
      </c>
      <c r="I117" s="15"/>
      <c r="J117" s="15"/>
      <c r="K117" s="15"/>
      <c r="L117" s="15"/>
    </row>
    <row r="118" spans="1:12">
      <c r="A118" s="33" t="s">
        <v>151</v>
      </c>
      <c r="B118" s="29">
        <v>1063</v>
      </c>
      <c r="C118" s="30">
        <v>2851008</v>
      </c>
      <c r="D118" s="25">
        <v>0.68500000000000005</v>
      </c>
      <c r="E118" s="31">
        <v>2682</v>
      </c>
      <c r="F118" s="23">
        <v>0.20200000000000001</v>
      </c>
      <c r="G118" s="14">
        <v>1.99</v>
      </c>
      <c r="H118" s="23">
        <v>0.435</v>
      </c>
      <c r="I118" s="15"/>
      <c r="J118" s="15"/>
      <c r="K118" s="15"/>
      <c r="L118" s="15"/>
    </row>
    <row r="119" spans="1:12">
      <c r="A119" s="33" t="s">
        <v>152</v>
      </c>
      <c r="B119" s="14">
        <v>363</v>
      </c>
      <c r="C119" s="30">
        <v>1371035</v>
      </c>
      <c r="D119" s="25">
        <v>0.63500000000000001</v>
      </c>
      <c r="E119" s="31">
        <v>3777</v>
      </c>
      <c r="F119" s="23">
        <v>0.251</v>
      </c>
      <c r="G119" s="14">
        <v>2.99</v>
      </c>
      <c r="H119" s="23">
        <v>0.44400000000000001</v>
      </c>
      <c r="I119" s="15"/>
      <c r="J119" s="15"/>
      <c r="K119" s="15"/>
      <c r="L119" s="15"/>
    </row>
    <row r="120" spans="1:12">
      <c r="A120" s="33" t="s">
        <v>153</v>
      </c>
      <c r="B120" s="14">
        <v>573</v>
      </c>
      <c r="C120" s="30">
        <v>1090204</v>
      </c>
      <c r="D120" s="25">
        <v>0.47899999999999998</v>
      </c>
      <c r="E120" s="24">
        <v>1902.6</v>
      </c>
      <c r="F120" s="23">
        <v>0.49</v>
      </c>
      <c r="G120" s="17">
        <v>1.01</v>
      </c>
      <c r="H120" s="23">
        <v>0.28299999999999997</v>
      </c>
      <c r="I120" s="15"/>
      <c r="J120" s="15"/>
      <c r="K120" s="15"/>
      <c r="L120" s="15"/>
    </row>
    <row r="121" spans="1:12">
      <c r="A121" s="19" t="s">
        <v>154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>
      <c r="A122" s="14" t="s">
        <v>191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>
      <c r="A123" s="14" t="s">
        <v>192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spans="1:1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spans="1:12">
      <c r="A126" s="18" t="s">
        <v>155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spans="1:12">
      <c r="A127" s="14" t="s">
        <v>193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spans="1:12">
      <c r="A128" s="17" t="s">
        <v>194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spans="1:12">
      <c r="A129" s="14" t="s">
        <v>195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spans="1:12">
      <c r="A130" s="17" t="s">
        <v>196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spans="1:12">
      <c r="A131" s="14" t="s">
        <v>197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spans="1:12">
      <c r="A132" s="17" t="s">
        <v>156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6CE7-AB48-8D4C-A63A-78271D6E9643}">
  <dimension ref="A1:E47"/>
  <sheetViews>
    <sheetView tabSelected="1" zoomScaleNormal="67" workbookViewId="0">
      <selection activeCell="B4" sqref="B4:B6"/>
    </sheetView>
  </sheetViews>
  <sheetFormatPr baseColWidth="10" defaultRowHeight="15"/>
  <cols>
    <col min="1" max="1" width="3.5" customWidth="1"/>
    <col min="2" max="2" width="56.83203125" style="13" customWidth="1"/>
    <col min="3" max="3" width="84.83203125" style="48" customWidth="1"/>
    <col min="4" max="4" width="66.5" style="48" customWidth="1"/>
    <col min="5" max="5" width="38.5" style="48" customWidth="1"/>
  </cols>
  <sheetData>
    <row r="1" spans="1:4" ht="23">
      <c r="A1" s="39" t="s">
        <v>198</v>
      </c>
      <c r="B1" s="45"/>
      <c r="C1" s="47"/>
      <c r="D1" s="47"/>
    </row>
    <row r="2" spans="1:4" ht="18">
      <c r="A2" s="40" t="s">
        <v>223</v>
      </c>
      <c r="B2" s="45"/>
      <c r="C2" s="47"/>
      <c r="D2" s="47"/>
    </row>
    <row r="3" spans="1:4" ht="16">
      <c r="A3" s="51" t="s">
        <v>49</v>
      </c>
      <c r="B3" s="52" t="s">
        <v>199</v>
      </c>
      <c r="C3" s="53" t="s">
        <v>200</v>
      </c>
      <c r="D3" s="53" t="s">
        <v>201</v>
      </c>
    </row>
    <row r="4" spans="1:4">
      <c r="A4" s="41">
        <v>1</v>
      </c>
      <c r="B4" s="46" t="s">
        <v>224</v>
      </c>
      <c r="C4" s="49" t="s">
        <v>225</v>
      </c>
      <c r="D4" s="49" t="s">
        <v>226</v>
      </c>
    </row>
    <row r="5" spans="1:4">
      <c r="A5" s="41"/>
      <c r="B5" s="46"/>
      <c r="C5" s="49" t="s">
        <v>202</v>
      </c>
      <c r="D5" s="49" t="s">
        <v>227</v>
      </c>
    </row>
    <row r="6" spans="1:4">
      <c r="A6" s="41"/>
      <c r="B6" s="46"/>
      <c r="C6" s="49" t="s">
        <v>228</v>
      </c>
      <c r="D6" s="49" t="s">
        <v>203</v>
      </c>
    </row>
    <row r="7" spans="1:4">
      <c r="A7" s="41">
        <v>2</v>
      </c>
      <c r="B7" s="46" t="s">
        <v>204</v>
      </c>
      <c r="C7" s="49" t="s">
        <v>229</v>
      </c>
      <c r="D7" s="49" t="s">
        <v>230</v>
      </c>
    </row>
    <row r="8" spans="1:4">
      <c r="A8" s="41"/>
      <c r="B8" s="46"/>
      <c r="C8" s="49" t="s">
        <v>231</v>
      </c>
      <c r="D8" s="49" t="s">
        <v>232</v>
      </c>
    </row>
    <row r="9" spans="1:4" ht="17">
      <c r="A9" s="41"/>
      <c r="B9" s="46"/>
      <c r="C9" s="49" t="s">
        <v>233</v>
      </c>
      <c r="D9" s="49"/>
    </row>
    <row r="10" spans="1:4">
      <c r="A10" s="41">
        <v>3</v>
      </c>
      <c r="B10" s="46" t="s">
        <v>205</v>
      </c>
      <c r="C10" s="49" t="s">
        <v>234</v>
      </c>
      <c r="D10" s="49" t="s">
        <v>235</v>
      </c>
    </row>
    <row r="11" spans="1:4">
      <c r="A11" s="41"/>
      <c r="B11" s="46"/>
      <c r="C11" s="49" t="s">
        <v>236</v>
      </c>
      <c r="D11" s="49" t="s">
        <v>237</v>
      </c>
    </row>
    <row r="12" spans="1:4">
      <c r="A12" s="41"/>
      <c r="B12" s="46"/>
      <c r="C12" s="49"/>
      <c r="D12" s="49" t="s">
        <v>238</v>
      </c>
    </row>
    <row r="13" spans="1:4">
      <c r="A13" s="41">
        <v>4</v>
      </c>
      <c r="B13" s="46" t="s">
        <v>206</v>
      </c>
      <c r="C13" s="49" t="s">
        <v>239</v>
      </c>
      <c r="D13" s="49" t="s">
        <v>240</v>
      </c>
    </row>
    <row r="14" spans="1:4">
      <c r="A14" s="41"/>
      <c r="B14" s="46"/>
      <c r="C14" s="49" t="s">
        <v>241</v>
      </c>
      <c r="D14" s="49" t="s">
        <v>242</v>
      </c>
    </row>
    <row r="15" spans="1:4">
      <c r="A15" s="41"/>
      <c r="B15" s="46"/>
      <c r="C15" s="49"/>
      <c r="D15" s="49" t="s">
        <v>243</v>
      </c>
    </row>
    <row r="16" spans="1:4">
      <c r="A16" s="41">
        <v>5</v>
      </c>
      <c r="B16" s="46" t="s">
        <v>244</v>
      </c>
      <c r="C16" s="49" t="s">
        <v>245</v>
      </c>
      <c r="D16" s="49" t="s">
        <v>246</v>
      </c>
    </row>
    <row r="17" spans="1:4">
      <c r="A17" s="41"/>
      <c r="B17" s="46"/>
      <c r="C17" s="49" t="s">
        <v>207</v>
      </c>
      <c r="D17" s="49" t="s">
        <v>247</v>
      </c>
    </row>
    <row r="18" spans="1:4">
      <c r="A18" s="41"/>
      <c r="B18" s="46"/>
      <c r="C18" s="49"/>
      <c r="D18" s="49" t="s">
        <v>248</v>
      </c>
    </row>
    <row r="19" spans="1:4">
      <c r="A19" s="41">
        <v>6</v>
      </c>
      <c r="B19" s="46" t="s">
        <v>249</v>
      </c>
      <c r="C19" s="49" t="s">
        <v>250</v>
      </c>
      <c r="D19" s="49" t="s">
        <v>251</v>
      </c>
    </row>
    <row r="20" spans="1:4">
      <c r="A20" s="41"/>
      <c r="B20" s="46"/>
      <c r="C20" s="49" t="s">
        <v>252</v>
      </c>
      <c r="D20" s="49" t="s">
        <v>253</v>
      </c>
    </row>
    <row r="21" spans="1:4">
      <c r="A21" s="41"/>
      <c r="B21" s="46"/>
      <c r="C21" s="49"/>
      <c r="D21" s="49" t="s">
        <v>254</v>
      </c>
    </row>
    <row r="22" spans="1:4" ht="17">
      <c r="A22" s="41">
        <v>7</v>
      </c>
      <c r="B22" s="46" t="s">
        <v>208</v>
      </c>
      <c r="C22" s="49" t="s">
        <v>255</v>
      </c>
      <c r="D22" s="49" t="s">
        <v>256</v>
      </c>
    </row>
    <row r="23" spans="1:4">
      <c r="A23" s="41"/>
      <c r="B23" s="46"/>
      <c r="C23" s="49" t="s">
        <v>257</v>
      </c>
      <c r="D23" s="49" t="s">
        <v>258</v>
      </c>
    </row>
    <row r="24" spans="1:4">
      <c r="A24" s="41"/>
      <c r="B24" s="46"/>
      <c r="C24" s="49" t="s">
        <v>259</v>
      </c>
      <c r="D24" s="49"/>
    </row>
    <row r="25" spans="1:4">
      <c r="A25" s="41">
        <v>8</v>
      </c>
      <c r="B25" s="46" t="s">
        <v>209</v>
      </c>
      <c r="C25" s="49" t="s">
        <v>260</v>
      </c>
      <c r="D25" s="49" t="s">
        <v>261</v>
      </c>
    </row>
    <row r="26" spans="1:4">
      <c r="A26" s="41"/>
      <c r="B26" s="46"/>
      <c r="C26" s="49" t="s">
        <v>262</v>
      </c>
      <c r="D26" s="49" t="s">
        <v>263</v>
      </c>
    </row>
    <row r="27" spans="1:4">
      <c r="A27" s="41">
        <v>9</v>
      </c>
      <c r="B27" s="46" t="s">
        <v>210</v>
      </c>
      <c r="C27" s="49" t="s">
        <v>264</v>
      </c>
      <c r="D27" s="49" t="s">
        <v>265</v>
      </c>
    </row>
    <row r="28" spans="1:4">
      <c r="A28" s="41"/>
      <c r="B28" s="46"/>
      <c r="C28" s="49" t="s">
        <v>266</v>
      </c>
      <c r="D28" s="49" t="s">
        <v>267</v>
      </c>
    </row>
    <row r="29" spans="1:4">
      <c r="A29" s="41">
        <v>10</v>
      </c>
      <c r="B29" s="46" t="s">
        <v>211</v>
      </c>
      <c r="C29" s="49" t="s">
        <v>268</v>
      </c>
      <c r="D29" s="49" t="s">
        <v>269</v>
      </c>
    </row>
    <row r="30" spans="1:4">
      <c r="A30" s="41"/>
      <c r="B30" s="46"/>
      <c r="C30" s="49" t="s">
        <v>212</v>
      </c>
      <c r="D30" s="49" t="s">
        <v>270</v>
      </c>
    </row>
    <row r="31" spans="1:4">
      <c r="A31" s="41"/>
      <c r="B31" s="46"/>
      <c r="C31" s="49"/>
      <c r="D31" s="49" t="s">
        <v>271</v>
      </c>
    </row>
    <row r="32" spans="1:4">
      <c r="A32" s="41">
        <v>11</v>
      </c>
      <c r="B32" s="46" t="s">
        <v>213</v>
      </c>
      <c r="C32" s="49" t="s">
        <v>272</v>
      </c>
      <c r="D32" s="49" t="s">
        <v>273</v>
      </c>
    </row>
    <row r="33" spans="1:4">
      <c r="A33" s="41"/>
      <c r="B33" s="46"/>
      <c r="C33" s="49" t="s">
        <v>214</v>
      </c>
      <c r="D33" s="49" t="s">
        <v>274</v>
      </c>
    </row>
    <row r="34" spans="1:4">
      <c r="A34" s="41">
        <v>12</v>
      </c>
      <c r="B34" s="46" t="s">
        <v>215</v>
      </c>
      <c r="C34" s="50" t="s">
        <v>275</v>
      </c>
      <c r="D34" s="49" t="s">
        <v>276</v>
      </c>
    </row>
    <row r="35" spans="1:4">
      <c r="A35" s="41"/>
      <c r="B35" s="46"/>
      <c r="C35" s="50"/>
      <c r="D35" s="49" t="s">
        <v>216</v>
      </c>
    </row>
    <row r="36" spans="1:4">
      <c r="A36" s="41">
        <v>13</v>
      </c>
      <c r="B36" s="46" t="s">
        <v>217</v>
      </c>
      <c r="C36" s="50" t="s">
        <v>277</v>
      </c>
      <c r="D36" s="49" t="s">
        <v>278</v>
      </c>
    </row>
    <row r="37" spans="1:4">
      <c r="A37" s="41"/>
      <c r="B37" s="46"/>
      <c r="C37" s="50"/>
      <c r="D37" s="49" t="s">
        <v>279</v>
      </c>
    </row>
    <row r="38" spans="1:4">
      <c r="A38" s="41"/>
      <c r="B38" s="46"/>
      <c r="C38" s="50"/>
      <c r="D38" s="49" t="s">
        <v>280</v>
      </c>
    </row>
    <row r="39" spans="1:4">
      <c r="A39" s="41"/>
      <c r="B39" s="46"/>
      <c r="C39" s="50"/>
      <c r="D39" s="49" t="s">
        <v>281</v>
      </c>
    </row>
    <row r="40" spans="1:4">
      <c r="A40" s="41"/>
      <c r="B40" s="46"/>
      <c r="C40" s="50"/>
      <c r="D40" s="49" t="s">
        <v>282</v>
      </c>
    </row>
    <row r="41" spans="1:4">
      <c r="A41" s="41"/>
      <c r="B41" s="46"/>
      <c r="C41" s="50"/>
      <c r="D41" s="49" t="s">
        <v>283</v>
      </c>
    </row>
    <row r="42" spans="1:4">
      <c r="A42" s="41">
        <v>14</v>
      </c>
      <c r="B42" s="46" t="s">
        <v>218</v>
      </c>
      <c r="C42" s="50" t="s">
        <v>284</v>
      </c>
      <c r="D42" s="49" t="s">
        <v>285</v>
      </c>
    </row>
    <row r="43" spans="1:4">
      <c r="A43" s="41"/>
      <c r="B43" s="46"/>
      <c r="C43" s="50"/>
      <c r="D43" s="49" t="s">
        <v>286</v>
      </c>
    </row>
    <row r="44" spans="1:4">
      <c r="A44" s="41"/>
      <c r="B44" s="46"/>
      <c r="C44" s="50"/>
      <c r="D44" s="49" t="s">
        <v>219</v>
      </c>
    </row>
    <row r="45" spans="1:4">
      <c r="A45" s="41">
        <v>15</v>
      </c>
      <c r="B45" s="46" t="s">
        <v>220</v>
      </c>
      <c r="C45" s="49" t="s">
        <v>287</v>
      </c>
      <c r="D45" s="49" t="s">
        <v>288</v>
      </c>
    </row>
    <row r="46" spans="1:4">
      <c r="A46" s="41"/>
      <c r="B46" s="46"/>
      <c r="C46" s="49" t="s">
        <v>221</v>
      </c>
      <c r="D46" s="49" t="s">
        <v>289</v>
      </c>
    </row>
    <row r="47" spans="1:4">
      <c r="A47" s="41"/>
      <c r="B47" s="46"/>
      <c r="C47" s="49"/>
      <c r="D47" s="49" t="s">
        <v>222</v>
      </c>
    </row>
  </sheetData>
  <mergeCells count="33">
    <mergeCell ref="A45:A47"/>
    <mergeCell ref="B45:B47"/>
    <mergeCell ref="C34:C35"/>
    <mergeCell ref="A36:A41"/>
    <mergeCell ref="B36:B41"/>
    <mergeCell ref="C36:C41"/>
    <mergeCell ref="A42:A44"/>
    <mergeCell ref="B42:B44"/>
    <mergeCell ref="C42:C44"/>
    <mergeCell ref="A29:A31"/>
    <mergeCell ref="B29:B31"/>
    <mergeCell ref="A32:A33"/>
    <mergeCell ref="B32:B33"/>
    <mergeCell ref="A34:A35"/>
    <mergeCell ref="B34:B35"/>
    <mergeCell ref="A22:A24"/>
    <mergeCell ref="B22:B24"/>
    <mergeCell ref="A25:A26"/>
    <mergeCell ref="B25:B26"/>
    <mergeCell ref="A27:A28"/>
    <mergeCell ref="B27:B28"/>
    <mergeCell ref="A13:A15"/>
    <mergeCell ref="B13:B15"/>
    <mergeCell ref="A16:A18"/>
    <mergeCell ref="B16:B18"/>
    <mergeCell ref="A19:A21"/>
    <mergeCell ref="B19:B21"/>
    <mergeCell ref="A4:A6"/>
    <mergeCell ref="B4:B6"/>
    <mergeCell ref="A7:A9"/>
    <mergeCell ref="B7:B9"/>
    <mergeCell ref="A10:A12"/>
    <mergeCell ref="B10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18F7-85FF-2142-ABF1-3FA0F0E3FA8E}">
  <dimension ref="A1:D23"/>
  <sheetViews>
    <sheetView workbookViewId="0">
      <selection activeCell="F9" sqref="F9"/>
    </sheetView>
  </sheetViews>
  <sheetFormatPr baseColWidth="10" defaultRowHeight="15"/>
  <sheetData>
    <row r="1" spans="1:4" ht="20">
      <c r="A1" s="42" t="s">
        <v>290</v>
      </c>
      <c r="B1" s="35"/>
      <c r="C1" s="35"/>
      <c r="D1" s="35"/>
    </row>
    <row r="2" spans="1:4">
      <c r="A2" s="37" t="s">
        <v>291</v>
      </c>
      <c r="B2" s="37" t="s">
        <v>292</v>
      </c>
      <c r="C2" s="37" t="s">
        <v>293</v>
      </c>
      <c r="D2" s="37" t="s">
        <v>294</v>
      </c>
    </row>
    <row r="3" spans="1:4">
      <c r="A3" s="43" t="s">
        <v>295</v>
      </c>
      <c r="B3" s="38" t="s">
        <v>296</v>
      </c>
      <c r="C3" s="38" t="s">
        <v>297</v>
      </c>
      <c r="D3" s="38" t="s">
        <v>298</v>
      </c>
    </row>
    <row r="4" spans="1:4">
      <c r="A4" s="43" t="s">
        <v>299</v>
      </c>
      <c r="B4" s="38" t="s">
        <v>300</v>
      </c>
      <c r="C4" s="38" t="s">
        <v>301</v>
      </c>
      <c r="D4" s="38" t="s">
        <v>320</v>
      </c>
    </row>
    <row r="5" spans="1:4">
      <c r="A5" s="43" t="s">
        <v>302</v>
      </c>
      <c r="B5" s="38" t="s">
        <v>303</v>
      </c>
      <c r="C5" s="38" t="s">
        <v>304</v>
      </c>
      <c r="D5" s="38" t="s">
        <v>305</v>
      </c>
    </row>
    <row r="6" spans="1:4">
      <c r="A6" s="43" t="s">
        <v>306</v>
      </c>
      <c r="B6" s="38" t="s">
        <v>307</v>
      </c>
      <c r="C6" s="38" t="s">
        <v>308</v>
      </c>
      <c r="D6" s="38" t="s">
        <v>309</v>
      </c>
    </row>
    <row r="7" spans="1:4">
      <c r="A7" s="43" t="s">
        <v>310</v>
      </c>
      <c r="B7" s="38" t="s">
        <v>311</v>
      </c>
      <c r="C7" s="38" t="s">
        <v>312</v>
      </c>
      <c r="D7" s="38" t="s">
        <v>313</v>
      </c>
    </row>
    <row r="8" spans="1:4" ht="18">
      <c r="A8" s="44" t="s">
        <v>321</v>
      </c>
      <c r="B8" s="35"/>
      <c r="C8" s="35"/>
      <c r="D8" s="35"/>
    </row>
    <row r="9" spans="1:4" ht="18">
      <c r="A9" s="36" t="s">
        <v>314</v>
      </c>
      <c r="B9" s="35"/>
      <c r="C9" s="35"/>
      <c r="D9" s="35"/>
    </row>
    <row r="10" spans="1:4" ht="18">
      <c r="A10" s="36" t="s">
        <v>315</v>
      </c>
      <c r="B10" s="35"/>
      <c r="C10" s="35"/>
      <c r="D10" s="35"/>
    </row>
    <row r="11" spans="1:4" ht="18">
      <c r="A11" s="36" t="s">
        <v>316</v>
      </c>
      <c r="B11" s="35"/>
      <c r="C11" s="35"/>
      <c r="D11" s="35"/>
    </row>
    <row r="12" spans="1:4" ht="18">
      <c r="A12" s="36" t="s">
        <v>317</v>
      </c>
      <c r="B12" s="35"/>
      <c r="C12" s="35"/>
      <c r="D12" s="35"/>
    </row>
    <row r="13" spans="1:4" ht="18">
      <c r="A13" s="36" t="s">
        <v>318</v>
      </c>
      <c r="B13" s="35"/>
      <c r="C13" s="35"/>
      <c r="D13" s="35"/>
    </row>
    <row r="14" spans="1:4">
      <c r="A14" s="35"/>
      <c r="B14" s="35"/>
      <c r="C14" s="35"/>
      <c r="D14" s="35"/>
    </row>
    <row r="15" spans="1:4">
      <c r="A15" s="35"/>
      <c r="B15" s="35"/>
      <c r="C15" s="35"/>
      <c r="D15" s="35"/>
    </row>
    <row r="16" spans="1:4" ht="20">
      <c r="A16" s="42" t="s">
        <v>319</v>
      </c>
      <c r="B16" s="35"/>
      <c r="C16" s="35"/>
      <c r="D16" s="35"/>
    </row>
    <row r="17" spans="1:4" ht="18">
      <c r="A17" s="44" t="s">
        <v>322</v>
      </c>
      <c r="B17" s="35"/>
      <c r="C17" s="35"/>
      <c r="D17" s="35"/>
    </row>
    <row r="18" spans="1:4" ht="18">
      <c r="A18" s="44" t="s">
        <v>323</v>
      </c>
      <c r="B18" s="35"/>
      <c r="C18" s="35"/>
      <c r="D18" s="35"/>
    </row>
    <row r="19" spans="1:4" ht="18">
      <c r="A19" s="44" t="s">
        <v>324</v>
      </c>
      <c r="B19" s="35"/>
      <c r="C19" s="35"/>
      <c r="D19" s="35"/>
    </row>
    <row r="20" spans="1:4" ht="18">
      <c r="A20" s="44" t="s">
        <v>325</v>
      </c>
      <c r="B20" s="35"/>
      <c r="C20" s="35"/>
      <c r="D20" s="35"/>
    </row>
    <row r="21" spans="1:4" ht="18">
      <c r="A21" s="44" t="s">
        <v>326</v>
      </c>
      <c r="B21" s="35"/>
      <c r="C21" s="35"/>
      <c r="D21" s="35"/>
    </row>
    <row r="22" spans="1:4" ht="18">
      <c r="A22" s="44" t="s">
        <v>327</v>
      </c>
      <c r="B22" s="35"/>
      <c r="C22" s="35"/>
      <c r="D22" s="35"/>
    </row>
    <row r="23" spans="1:4" ht="18">
      <c r="A23" s="36" t="s">
        <v>328</v>
      </c>
      <c r="B23" s="35"/>
      <c r="C23" s="35"/>
      <c r="D2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ASP Action Plan</vt:lpstr>
      <vt:lpstr>18AG</vt:lpstr>
      <vt:lpstr>20AG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Corporate Sales1</cp:lastModifiedBy>
  <dcterms:created xsi:type="dcterms:W3CDTF">2026-08-18T09:04:47Z</dcterms:created>
  <dcterms:modified xsi:type="dcterms:W3CDTF">2026-08-20T10:55:08Z</dcterms:modified>
</cp:coreProperties>
</file>