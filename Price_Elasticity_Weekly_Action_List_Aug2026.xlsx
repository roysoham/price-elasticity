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ohamroy/Documents/work/GM Improvement/"/>
    </mc:Choice>
  </mc:AlternateContent>
  <xr:revisionPtr revIDLastSave="0" documentId="13_ncr:1_{83074713-CAAD-1148-82B6-FE0AD2458CB8}" xr6:coauthVersionLast="47" xr6:coauthVersionMax="47" xr10:uidLastSave="{00000000-0000-0000-0000-000000000000}"/>
  <bookViews>
    <workbookView xWindow="0" yWindow="600" windowWidth="28800" windowHeight="16160" activeTab="5" xr2:uid="{00000000-000D-0000-FFFF-FFFF00000000}"/>
  </bookViews>
  <sheets>
    <sheet name="README" sheetId="1" r:id="rId1"/>
    <sheet name="Weekly Action List" sheetId="2" r:id="rId2"/>
    <sheet name="Sheet2" sheetId="6" r:id="rId3"/>
    <sheet name="Sheet1" sheetId="5" r:id="rId4"/>
    <sheet name="Flagged - No Action" sheetId="3" r:id="rId5"/>
    <sheet name="Full Package Detail" sheetId="4" r:id="rId6"/>
  </sheets>
  <definedNames>
    <definedName name="_xlnm._FilterDatabase" localSheetId="3" hidden="1">Sheet1!$A$1:$K$721</definedName>
    <definedName name="_xlnm._FilterDatabase" localSheetId="1" hidden="1">'Weekly Action List'!$A$1:$S$40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3" i="2" l="1"/>
  <c r="Q43" i="2"/>
  <c r="R43" i="2" s="1"/>
</calcChain>
</file>

<file path=xl/sharedStrings.xml><?xml version="1.0" encoding="utf-8"?>
<sst xmlns="http://schemas.openxmlformats.org/spreadsheetml/2006/main" count="4037" uniqueCount="1235">
  <si>
    <t>Price Elasticity Model — Weekly GM Action List</t>
  </si>
  <si>
    <t>Generated 2026-08-08 | Redcliffe Labs — GM Improvement Program</t>
  </si>
  <si>
    <t>Data sources</t>
  </si>
  <si>
    <t>1. online_item_price_m_o_m.xlsx — 13-month (M0-M12) MoM bookings/revenue/offer_price by city x package_code x fresh/repeat. M12 (current partial month, ~5 days of data) excluded from all before/after comparisons — it under-reports by ~6x vs a full month and would fake a demand collapse if left in.</t>
  </si>
  <si>
    <t>2. online_discount_summary__raw_july26 to Aug2_2026.xlsx (Query result tab) — booking-level cost (cpt) and Gross_Margin for the Jul26-Aug2 window. Used ONLY for single-SKU bookings (Combo_Package(N&gt;1)='Single Package') — combo bookings' cost/margin can't be fairly split across constituent packages, so they're excluded from per-package cost, consistent with your V3 file's own logic.</t>
  </si>
  <si>
    <t>3. Android funnel product-wise quarter file — FY26 vs FY27 cart-to-purchase CR by package_name, used as a directional sanity check only (quarterly grain, name-matched, not tied to specific price-change dates — flags 'does this look consistent with the funnel trend', not proof of causation).</t>
  </si>
  <si>
    <t>Methodology</t>
  </si>
  <si>
    <t>STEP 1 — National rollup: bookings/revenue pooled across all cities per package_code per month (booking-weighted avg offer_price). City-level data was too sparse — 70% of city x package rows show zero price variation across 13 months, making elasticity unmeasurable at that grain. Pooling nationally gives enough real price-change events to measure; city-level funnel CR is then used in Step 10 as a secondary check.</t>
  </si>
  <si>
    <t>STEP 2 — Price-change events: every month-to-month move in offer_price of &gt;=3% is flagged as an event. 282 such events found across 111 of 365 packages.</t>
  </si>
  <si>
    <t>STEP 3 — Before/after windows: bookings averaged over the 2 months before vs. 2 months at/after each event, to smooth single-month noise.</t>
  </si>
  <si>
    <t>STEP 4 — Market-level control: total bookings across ALL packages by month used as a seasonality baseline; each package's booking change is adjusted by subtracting the market's own growth over the same span, so a festival-season volume spike doesn't get misread as 'price cut worked'.</t>
  </si>
  <si>
    <t>STEP 5 — Elasticity: e = (adjusted %change in bookings) / (%change in price). Events with &lt;5% price moves or &lt;10 pre-period bookings are dropped. Individual event elasticities are winsorized to [-10,+10] before aggregating — a handful of tiny-base events produced physically implausible +/-1000+ readings that would otherwise dominate the median.</t>
  </si>
  <si>
    <t>STEP 6 — Confidence tiers: Tier A = 2+ price-change events with the response pointing the same direction (&gt;=66% agreement). Tier B = only 1 usable event. Tier C = the package never varied price in the window — elasticity is BORROWED from peer packages (same package/test type + same price band) using a booking-weighted average of their measured elasticities; falls back to a -0.6 external benchmark (typical for non-emergency preventive diagnostics) if no peer group exists.</t>
  </si>
  <si>
    <t>STEP 7 — Cost basis for GM$ math: real average cost-per-booking (cpt) from the Jul26-Aug2 raw file is used as a roughly FIXED per-booking cost — NOT a blended GM% applied to revenue. This matters: cpt doesn't move when price changes, so price moves flow almost dollar-for-dollar into or out of margin. Fallback where cpt is unavailable: cost = 30% of offer price (matches your ~70% blended segment GM%), flagged in 'Cost Source'.</t>
  </si>
  <si>
    <t>STEP 8 — GM-correct breakeven test (the key fix in this build): revenue-maximizing and GM-maximizing price moves are NOT the same when there's a per-booking cost. The math: GM is maximized by a price cut only when elasticity is more negative than -Price/(Price-Cost) — the 'breakeven elasticity'. A package can be revenue-elastic (|e|&gt;1) and still LOSE gross margin on a price cut if its margin is thin relative to price. Every recommendation here is checked against this package-specific breakeven, not a flat -1/-2 rule, with a 20% safety buffer on both sides — 36 candidate packages that fell in the ambiguous zone near breakeven were excluded rather than guessed on.</t>
  </si>
  <si>
    <t>STEP 9 — Materiality filter: only packages with &gt;=50 bookings/week at current run-rate (most recent complete month / 4.33) are included.</t>
  </si>
  <si>
    <t>STEP 10 — Funnel cross-check: for packages matched by name to the Android funnel file, flag whether FY26-&gt;FY27 cart-to-purchase CR trend is consistent with the recommendation direction. Sanity flag only, not part of the elasticity math.</t>
  </si>
  <si>
    <t>Key limitations — read before acting</t>
  </si>
  <si>
    <t>This is an OBSERVATIONAL analysis of historical price moves, not a controlled experiment. Price changes often coincide with promos, seasonality, or funnel changes this model can't fully separate out even with the market-level control in Step 4.</t>
  </si>
  <si>
    <t>Most action-list packages are Tier B/C — their elasticity is a peer proxy, not measured on that exact package. Treat Tier B/C as PILOT candidates: change price, watch bookings for 1-2 weeks before scaling further. Tier A (13 packages) has the most direct evidence.</t>
  </si>
  <si>
    <t>GM cost data comes from an 8-day window (Jul26-Aug2) applied across a 13-month volume history — assumes cost hasn't materially drifted. Reasonable for stable lab test costs, riskier if COGS moved a lot over the year.</t>
  </si>
  <si>
    <t>Recommended price deltas are capped at 15% and rounded to the nearest Rs 10 as a low-risk testing increment, not a mathematically 'optimal' price — a true optimum needs a full demand curve, which 1-2 historical data points per package can't support.</t>
  </si>
  <si>
    <t>36 packages cleared the volume bar but sit in the ambiguous zone near their GM breakeven elasticity — deliberately excluded from the action list rather than forced into a direction. See 'Flagged - No Action' tab.</t>
  </si>
  <si>
    <t>This is a WEEKLY run-rate projection off the current run-rate month, scaled linearly by elasticity. It's a projection, not a guarantee — validate live before scaling.</t>
  </si>
  <si>
    <t>Sheet guide</t>
  </si>
  <si>
    <t>Weekly Action List — 39 ranked, GM-positive price change recommendations for the next Sun-Sun week. Total projected uplift ~Rs 11.5L/week across the list.</t>
  </si>
  <si>
    <t>Flagged - No Action — packages clearing the volume bar but either GM-ambiguous (near breakeven) or showing positive/unclear elasticity (likely confounded); needs manual review, not an automatic call.</t>
  </si>
  <si>
    <t>Full Package Detail — all 365 packages at national grain with elasticity, tier, and GM inputs, for reference/audit.</t>
  </si>
  <si>
    <t>Package Code</t>
  </si>
  <si>
    <t>Package Name</t>
  </si>
  <si>
    <t>Type</t>
  </si>
  <si>
    <t>Current Price (Rs)</t>
  </si>
  <si>
    <t>Current Weekly Bookings</t>
  </si>
  <si>
    <t>Recommended Price (Rs)</t>
  </si>
  <si>
    <t>Price Change %</t>
  </si>
  <si>
    <t>Elasticity Used</t>
  </si>
  <si>
    <t>Breakeven Elasticity</t>
  </si>
  <si>
    <t>Confidence Tier</t>
  </si>
  <si>
    <t>Elasticity Source</t>
  </si>
  <si>
    <t># Price Events Observed</t>
  </si>
  <si>
    <t>Projected Weekly Bookings</t>
  </si>
  <si>
    <t>Cost/Booking (Rs)</t>
  </si>
  <si>
    <t>Cost Source</t>
  </si>
  <si>
    <t>Current Weekly GM (Rs)</t>
  </si>
  <si>
    <t>Projected Weekly GM (Rs)</t>
  </si>
  <si>
    <t>Weekly GM Delta (Rs)</t>
  </si>
  <si>
    <t>Funnel CR Cross-Check</t>
  </si>
  <si>
    <t>PL11</t>
  </si>
  <si>
    <t>Smart Full Body Checkup</t>
  </si>
  <si>
    <t>package</t>
  </si>
  <si>
    <t>C</t>
  </si>
  <si>
    <t>peer_price_tier</t>
  </si>
  <si>
    <t>measured_jul26_aug2</t>
  </si>
  <si>
    <t>consistent</t>
  </si>
  <si>
    <t>BC082</t>
  </si>
  <si>
    <t>Apolipoprotein B Test</t>
  </si>
  <si>
    <t>test</t>
  </si>
  <si>
    <t>A</t>
  </si>
  <si>
    <t>measured</t>
  </si>
  <si>
    <t>PL124I</t>
  </si>
  <si>
    <t>Fit India Full Body Checkup with Free HbA1c</t>
  </si>
  <si>
    <t>BC075</t>
  </si>
  <si>
    <t>Vitamin D Test (25-Hydroxy)</t>
  </si>
  <si>
    <t>B</t>
  </si>
  <si>
    <t>no_funnel_data</t>
  </si>
  <si>
    <t>PL334</t>
  </si>
  <si>
    <t>Fit India Full Body Checkup - Essential</t>
  </si>
  <si>
    <t>HM022</t>
  </si>
  <si>
    <t>Prothrombin Time (PT INR) Test</t>
  </si>
  <si>
    <t>HM007</t>
  </si>
  <si>
    <t>Complete Blood Count (CBC) Test</t>
  </si>
  <si>
    <t>PL121</t>
  </si>
  <si>
    <t>Vital Screening Package</t>
  </si>
  <si>
    <t>PL08I</t>
  </si>
  <si>
    <t>Fever Package - Advance</t>
  </si>
  <si>
    <t>check</t>
  </si>
  <si>
    <t>MI058</t>
  </si>
  <si>
    <t>Urine Culture (Automated) Test</t>
  </si>
  <si>
    <t>PL40</t>
  </si>
  <si>
    <t>Vitamin Profile (Vitamin D &amp; B12)</t>
  </si>
  <si>
    <t>BC063</t>
  </si>
  <si>
    <t>Thyroid Profile Total</t>
  </si>
  <si>
    <t>BC074</t>
  </si>
  <si>
    <t>Vitamin B12 Test</t>
  </si>
  <si>
    <t>PL103</t>
  </si>
  <si>
    <t>STD Panel Essential</t>
  </si>
  <si>
    <t>PL109</t>
  </si>
  <si>
    <t>Prime Full body Check Up</t>
  </si>
  <si>
    <t>BC035</t>
  </si>
  <si>
    <t>HBA1C Test</t>
  </si>
  <si>
    <t>PL246F</t>
  </si>
  <si>
    <t>One Plus One Fit India Full Body Checkup With Vitamin Screening with Free HsCRP</t>
  </si>
  <si>
    <t>BC062</t>
  </si>
  <si>
    <t>Thyroid Profile Free Test</t>
  </si>
  <si>
    <t>PL203</t>
  </si>
  <si>
    <t>Vitamins &amp; Mineral Screening Package</t>
  </si>
  <si>
    <t>PL91</t>
  </si>
  <si>
    <t>Smart Full Body Checkup with CRP Test</t>
  </si>
  <si>
    <t>BC023</t>
  </si>
  <si>
    <t>Blood Sugar Fasting</t>
  </si>
  <si>
    <t>HM051</t>
  </si>
  <si>
    <t>Hemoglobin Variant Analysis Test (HPLC Test)</t>
  </si>
  <si>
    <t>BC012</t>
  </si>
  <si>
    <t>Calcium, Serum</t>
  </si>
  <si>
    <t>SE019</t>
  </si>
  <si>
    <t>Widal Test (Slide Agglutination)</t>
  </si>
  <si>
    <t>SE133</t>
  </si>
  <si>
    <t>HIV 1&amp;2 Antibodies Test by CMIA Method</t>
  </si>
  <si>
    <t>BC061</t>
  </si>
  <si>
    <t>Testosterone Total Test</t>
  </si>
  <si>
    <t>BC350</t>
  </si>
  <si>
    <t>Cortisol Morning Sample Test</t>
  </si>
  <si>
    <t>SE339</t>
  </si>
  <si>
    <t>Viral Markers Rapid Test</t>
  </si>
  <si>
    <t>HM012</t>
  </si>
  <si>
    <t>Hemoglobin (Hb) Test</t>
  </si>
  <si>
    <t>BC180</t>
  </si>
  <si>
    <t>Immunoglobulin IgE (IgE Total), Serum</t>
  </si>
  <si>
    <t>HM013</t>
  </si>
  <si>
    <t>Complete Hemogram (CBC &amp; ESR)</t>
  </si>
  <si>
    <t>BC034</t>
  </si>
  <si>
    <t>Blood Sugar Random</t>
  </si>
  <si>
    <t>BC047</t>
  </si>
  <si>
    <t>Magnesium Test</t>
  </si>
  <si>
    <t>BC033</t>
  </si>
  <si>
    <t>Blood Sugar Post Prandial (PP)</t>
  </si>
  <si>
    <t>BC040</t>
  </si>
  <si>
    <t>Iron Test</t>
  </si>
  <si>
    <t>BC017</t>
  </si>
  <si>
    <t>Creatinine, Serum</t>
  </si>
  <si>
    <t>ADD006</t>
  </si>
  <si>
    <t>Testosterone Total  Test</t>
  </si>
  <si>
    <t>blended_70pct_fallback</t>
  </si>
  <si>
    <t>HM010</t>
  </si>
  <si>
    <t>ESR Test</t>
  </si>
  <si>
    <t>BC019</t>
  </si>
  <si>
    <t>Electrolytes (Na/K/Cl) Test</t>
  </si>
  <si>
    <t>TOTAL PROJECTED WEEKLY GM UPLIFT</t>
  </si>
  <si>
    <t>Elasticity</t>
  </si>
  <si>
    <t>ADD007</t>
  </si>
  <si>
    <t>Ferritin  Test</t>
  </si>
  <si>
    <t>BC012A</t>
  </si>
  <si>
    <t>Free Calcium Test</t>
  </si>
  <si>
    <t>peer_overall_type</t>
  </si>
  <si>
    <t>BC015</t>
  </si>
  <si>
    <t>CRP Test (C Reactive Protein Test)</t>
  </si>
  <si>
    <t>BC024</t>
  </si>
  <si>
    <t>Ferritin Test</t>
  </si>
  <si>
    <t>BC037</t>
  </si>
  <si>
    <t>Insulin Fasting Test</t>
  </si>
  <si>
    <t>BC040A</t>
  </si>
  <si>
    <t>Free Iron Test</t>
  </si>
  <si>
    <t>BC041</t>
  </si>
  <si>
    <t>Iron Studies Test</t>
  </si>
  <si>
    <t>BC048</t>
  </si>
  <si>
    <t>Microalbumin - Creatinine Ratio, Spot Urine</t>
  </si>
  <si>
    <t>BC052</t>
  </si>
  <si>
    <t>Prolactin Test (PRL)</t>
  </si>
  <si>
    <t>BC071</t>
  </si>
  <si>
    <t>TSH, Ultrasensitive</t>
  </si>
  <si>
    <t>BC072</t>
  </si>
  <si>
    <t>Uric Acid Test</t>
  </si>
  <si>
    <t>BC178</t>
  </si>
  <si>
    <t>Beta HCG Total, Maternal (Pregnancy) Test</t>
  </si>
  <si>
    <t>BC339</t>
  </si>
  <si>
    <t>Homocysteine Test</t>
  </si>
  <si>
    <t>BC360</t>
  </si>
  <si>
    <t>Kidney Function Test (KFT)</t>
  </si>
  <si>
    <t>BC471</t>
  </si>
  <si>
    <t>Lipid Profile Test</t>
  </si>
  <si>
    <t>CP009</t>
  </si>
  <si>
    <t>Stool Routine &amp; Microscopic Examination</t>
  </si>
  <si>
    <t>CP012</t>
  </si>
  <si>
    <t>Urine Routine &amp; Microscopic Examination Test</t>
  </si>
  <si>
    <t>HM004</t>
  </si>
  <si>
    <t>Blood Group Test</t>
  </si>
  <si>
    <t>HM100</t>
  </si>
  <si>
    <t>Peripheral Blood Smear Test</t>
  </si>
  <si>
    <t>PL08S</t>
  </si>
  <si>
    <t>Fever Package Advance Plus</t>
  </si>
  <si>
    <t>PL125</t>
  </si>
  <si>
    <t>Fit India Full Body checkup with Vitamin Screening</t>
  </si>
  <si>
    <t>PL128B</t>
  </si>
  <si>
    <t>Stay Fit Pro Full Body Checkup - Male</t>
  </si>
  <si>
    <t>PL128C</t>
  </si>
  <si>
    <t>Stay Fit Ultra Full Body Checkup - Male</t>
  </si>
  <si>
    <t>PL129B</t>
  </si>
  <si>
    <t>Stay Fit Pro Full Body Checkup - Female</t>
  </si>
  <si>
    <t>PL129C</t>
  </si>
  <si>
    <t>Stay Fit Ultra Full Body Checkup - Female</t>
  </si>
  <si>
    <t>PL14</t>
  </si>
  <si>
    <t>Advance Plus Full Body Checkup</t>
  </si>
  <si>
    <t>PL147E</t>
  </si>
  <si>
    <t>Cardiac Profile - Comprehensive</t>
  </si>
  <si>
    <t>PL14B</t>
  </si>
  <si>
    <t>Advance Plus Full Body Checkup with Free Heart Test (HsCRP)</t>
  </si>
  <si>
    <t>PL246E</t>
  </si>
  <si>
    <t>Fit India Full Body Checkup With Vitamin Screening with Free Heart Test (HsCRP)</t>
  </si>
  <si>
    <t>PL246H</t>
  </si>
  <si>
    <t>Fit India Plus Full Body Checkup With Vitamin Screening with Free Heart Test (HsCRP)</t>
  </si>
  <si>
    <t>PL334A</t>
  </si>
  <si>
    <t>Fit India Full Body Checkup - Advance</t>
  </si>
  <si>
    <t>PL341B</t>
  </si>
  <si>
    <t>Annual Full Body Checkup - Advance</t>
  </si>
  <si>
    <t>PL71A</t>
  </si>
  <si>
    <t>AMH Profile (Female)</t>
  </si>
  <si>
    <t>PL94</t>
  </si>
  <si>
    <t>Liver Function Test (LFT)</t>
  </si>
  <si>
    <t>SE009</t>
  </si>
  <si>
    <t>Hepatitis B Surface Antigen (HBsAg) Rapid Screening Test</t>
  </si>
  <si>
    <t>SE012</t>
  </si>
  <si>
    <t>Rheumatoid Factor (RA) Quantitative Test</t>
  </si>
  <si>
    <t>Monthly Bookings (latest complete month)</t>
  </si>
  <si>
    <t>Weekly Bookings</t>
  </si>
  <si>
    <t>Price Tier</t>
  </si>
  <si>
    <t># Price Events</t>
  </si>
  <si>
    <t>Measured Elasticity (if any)</t>
  </si>
  <si>
    <t>GM% (Jul26-Aug2, if matched)</t>
  </si>
  <si>
    <t>ADD001</t>
  </si>
  <si>
    <t>Thyroid Profile Total Test</t>
  </si>
  <si>
    <t>300-600</t>
  </si>
  <si>
    <t>ADD002</t>
  </si>
  <si>
    <t>HbA1c Test</t>
  </si>
  <si>
    <t>ADD004</t>
  </si>
  <si>
    <t>Blood Group  Test</t>
  </si>
  <si>
    <t>ADD005</t>
  </si>
  <si>
    <t>CRP Test (C Reactive Protein)</t>
  </si>
  <si>
    <t>ADD008</t>
  </si>
  <si>
    <t>Vitamin D 25 Hydroxy Test</t>
  </si>
  <si>
    <t>ADD009</t>
  </si>
  <si>
    <t>Vitamin B12  Test</t>
  </si>
  <si>
    <t>ADD010</t>
  </si>
  <si>
    <t>Rheumatoid Factor Quantitative (RA Factor) Test</t>
  </si>
  <si>
    <t>ADD011</t>
  </si>
  <si>
    <t>IgE Total (Immunoglobulin IgE) Test</t>
  </si>
  <si>
    <t>ADD012</t>
  </si>
  <si>
    <t>Iron Studies  Test</t>
  </si>
  <si>
    <t>ADD014</t>
  </si>
  <si>
    <t>CEA (Carcinoembryonic Antigen) Test</t>
  </si>
  <si>
    <t>ADD015</t>
  </si>
  <si>
    <t>PSA Total (Prostate Specific Antigen) Test</t>
  </si>
  <si>
    <t>ADD017</t>
  </si>
  <si>
    <t>CA 125 (Ovarian Cancer Marker) Test</t>
  </si>
  <si>
    <t>ADD021</t>
  </si>
  <si>
    <t>Insulin Fasting  Test</t>
  </si>
  <si>
    <t>ADD024</t>
  </si>
  <si>
    <t>Magnesium  Test</t>
  </si>
  <si>
    <t>&lt;300</t>
  </si>
  <si>
    <t>ADD025</t>
  </si>
  <si>
    <t>Apolipoprotein B (Apo B) Test</t>
  </si>
  <si>
    <t>ADD026</t>
  </si>
  <si>
    <t>Cortisol, Morning Sample Test</t>
  </si>
  <si>
    <t>B2CCR</t>
  </si>
  <si>
    <t>B2C Camp Random</t>
  </si>
  <si>
    <t>BC005</t>
  </si>
  <si>
    <t>Amylase Test</t>
  </si>
  <si>
    <t>BC009</t>
  </si>
  <si>
    <t>Blood Urea Test</t>
  </si>
  <si>
    <t>BC011</t>
  </si>
  <si>
    <t>Ca 125 (Ovarian Cancer Marker)</t>
  </si>
  <si>
    <t>1000-1500</t>
  </si>
  <si>
    <t>BC016</t>
  </si>
  <si>
    <t>Creatine Phosphokinase (CPK) Test</t>
  </si>
  <si>
    <t>BC021</t>
  </si>
  <si>
    <t>Estimated Glomerular Filtration Rate (eGFR) Test</t>
  </si>
  <si>
    <t>BC022</t>
  </si>
  <si>
    <t>Estradiol Test (E2)</t>
  </si>
  <si>
    <t>600-1000</t>
  </si>
  <si>
    <t>BC025</t>
  </si>
  <si>
    <t>Folic Acid Test</t>
  </si>
  <si>
    <t>BC026</t>
  </si>
  <si>
    <t>Follicle Stimulating Hormone FSH Test</t>
  </si>
  <si>
    <t>BC028</t>
  </si>
  <si>
    <t>FT4 &amp; TSH 3rd Gen Panel</t>
  </si>
  <si>
    <t>BC029</t>
  </si>
  <si>
    <t>FT4 (Free Thyroxine 4) Test</t>
  </si>
  <si>
    <t>BC032A</t>
  </si>
  <si>
    <t>Glucose Tolerance Test (GTT 2)</t>
  </si>
  <si>
    <t>BC032B</t>
  </si>
  <si>
    <t>Glucose Challenge Test (GCT)- 75 Grams Of Glucose</t>
  </si>
  <si>
    <t>BC036</t>
  </si>
  <si>
    <t>Female Hormones Screening (LH, FSH, PRL)</t>
  </si>
  <si>
    <t>BC038</t>
  </si>
  <si>
    <t>Insulin PP (Post Prandial) Test</t>
  </si>
  <si>
    <t>BC042</t>
  </si>
  <si>
    <t>Lactate Dehydrogenase (LDH), Serum Test</t>
  </si>
  <si>
    <t>BC043</t>
  </si>
  <si>
    <t>FSH &amp; LH Test</t>
  </si>
  <si>
    <t>BC050</t>
  </si>
  <si>
    <t>Potassium Test</t>
  </si>
  <si>
    <t>BC053</t>
  </si>
  <si>
    <t>Prostate Specific Antigen (PSA) Total Test</t>
  </si>
  <si>
    <t>BC054</t>
  </si>
  <si>
    <t>Protein / Creatinine Ratio, Spot Urine</t>
  </si>
  <si>
    <t>BC055</t>
  </si>
  <si>
    <t>KFT Urine Routine Test</t>
  </si>
  <si>
    <t>BC057</t>
  </si>
  <si>
    <t>SGOT / AST Test</t>
  </si>
  <si>
    <t>BC058</t>
  </si>
  <si>
    <t>Sodium Test</t>
  </si>
  <si>
    <t>BC060</t>
  </si>
  <si>
    <t>Testosterone Free And Total</t>
  </si>
  <si>
    <t>1500-2500</t>
  </si>
  <si>
    <t>BC064</t>
  </si>
  <si>
    <t>Cholesterol Test</t>
  </si>
  <si>
    <t>BC075A</t>
  </si>
  <si>
    <t>Vitamin D Screening Test</t>
  </si>
  <si>
    <t>BC080</t>
  </si>
  <si>
    <t>Anti Thyroid Peroxidase Antibodies (TPO) Test</t>
  </si>
  <si>
    <t>BC094</t>
  </si>
  <si>
    <t>C Peptide Fasting Test</t>
  </si>
  <si>
    <t>BC098</t>
  </si>
  <si>
    <t>CA 72.4 Test</t>
  </si>
  <si>
    <t>BC105</t>
  </si>
  <si>
    <t>Carcinoembryonic Antigen (CEA) Test</t>
  </si>
  <si>
    <t>BC127</t>
  </si>
  <si>
    <t>Creatine Kinase MB Test</t>
  </si>
  <si>
    <t>BC131</t>
  </si>
  <si>
    <t>Cystatin C Test</t>
  </si>
  <si>
    <t>BC133</t>
  </si>
  <si>
    <t>DHEA-S (Dehydroepiandrosterone Sulphate)</t>
  </si>
  <si>
    <t>BC138</t>
  </si>
  <si>
    <t>Double Marker Test- First Trimester</t>
  </si>
  <si>
    <t>BC169</t>
  </si>
  <si>
    <t>Growth Hormone (GH) Test</t>
  </si>
  <si>
    <t>BC173</t>
  </si>
  <si>
    <t>High-Sensitivity C-Reactive Protein (hsCRP ) Test</t>
  </si>
  <si>
    <t>BC188</t>
  </si>
  <si>
    <t>Immunoglobulin A (IgA) Test</t>
  </si>
  <si>
    <t>BC205</t>
  </si>
  <si>
    <t>Lipase Test</t>
  </si>
  <si>
    <t>BC206</t>
  </si>
  <si>
    <t>Lipoprotein (A) Test</t>
  </si>
  <si>
    <t>BC227</t>
  </si>
  <si>
    <t>NT Pro BNP</t>
  </si>
  <si>
    <t>2500+</t>
  </si>
  <si>
    <t>BC233</t>
  </si>
  <si>
    <t>Parathyroid hormone PTH Test</t>
  </si>
  <si>
    <t>BC244</t>
  </si>
  <si>
    <t>Progesterone Test</t>
  </si>
  <si>
    <t>BC245</t>
  </si>
  <si>
    <t>Prostate Specific Antigen (PSA) Free Test</t>
  </si>
  <si>
    <t>BC248</t>
  </si>
  <si>
    <t>Quadruple Marker Test</t>
  </si>
  <si>
    <t>BC261</t>
  </si>
  <si>
    <t>Testosterone Free Test</t>
  </si>
  <si>
    <t>BC265</t>
  </si>
  <si>
    <t>Thyroid Antibodies Panel (Anti TPO, Anti TG) Test</t>
  </si>
  <si>
    <t>BC269</t>
  </si>
  <si>
    <t>High Sensitivity Troponin I Test</t>
  </si>
  <si>
    <t>BC270</t>
  </si>
  <si>
    <t>High Sensitivity Troponin T Test</t>
  </si>
  <si>
    <t>BC284</t>
  </si>
  <si>
    <t>Zinc Test</t>
  </si>
  <si>
    <t>BC29</t>
  </si>
  <si>
    <t>Glucose Tolerance Test (GTT 3)</t>
  </si>
  <si>
    <t>BC295</t>
  </si>
  <si>
    <t>SGPT / ALT Test</t>
  </si>
  <si>
    <t>BC317</t>
  </si>
  <si>
    <t>Angiotensin Converting Enzyme (ACE) Test</t>
  </si>
  <si>
    <t>BC318</t>
  </si>
  <si>
    <t>Anti Cyclic Citrullinated Peptide Antibodies Test (Anti CCP)</t>
  </si>
  <si>
    <t>BC319</t>
  </si>
  <si>
    <t>Anti Mullerian hormone AMH Test</t>
  </si>
  <si>
    <t>BC327</t>
  </si>
  <si>
    <t>Fecal Calprotectin Test</t>
  </si>
  <si>
    <t>BC352</t>
  </si>
  <si>
    <t>Bile Acids Total Test</t>
  </si>
  <si>
    <t>BC353</t>
  </si>
  <si>
    <t>Apolipoproteins B &amp; A1 Profile or Ratio Test</t>
  </si>
  <si>
    <t>BC381</t>
  </si>
  <si>
    <t>Calcium Ionised Serum Test</t>
  </si>
  <si>
    <t>BC421</t>
  </si>
  <si>
    <t>PSA Profile</t>
  </si>
  <si>
    <t>BC445</t>
  </si>
  <si>
    <t>HOMA Index Insulin Resistance Test</t>
  </si>
  <si>
    <t>BC445A</t>
  </si>
  <si>
    <t>HOMA- IR With C Peptide Test</t>
  </si>
  <si>
    <t>BC446</t>
  </si>
  <si>
    <t>Tumor Marker Alpha Fetoprotein (AFP)</t>
  </si>
  <si>
    <t>BC474</t>
  </si>
  <si>
    <t>Bicarbonate Test</t>
  </si>
  <si>
    <t>BC479</t>
  </si>
  <si>
    <t>Drugs Of Abuse Urine: Nicotine / Cotinine Test</t>
  </si>
  <si>
    <t>BC485</t>
  </si>
  <si>
    <t>Cholesterol Profile</t>
  </si>
  <si>
    <t>BC503</t>
  </si>
  <si>
    <t>Vitamin D Advanced (D2, D3 &amp; D Total)</t>
  </si>
  <si>
    <t>CAMP001C</t>
  </si>
  <si>
    <t>Health Camp Package (Random)</t>
  </si>
  <si>
    <t>CAMP001D</t>
  </si>
  <si>
    <t>Health Camp Package (Fasting)</t>
  </si>
  <si>
    <t>CAMP012A</t>
  </si>
  <si>
    <t>Free Glucose Fasting Test</t>
  </si>
  <si>
    <t>CAMP013A</t>
  </si>
  <si>
    <t>Free Glucose Random Test</t>
  </si>
  <si>
    <t>CG030</t>
  </si>
  <si>
    <t>Chromosome Analysis (Karyotype), Blood</t>
  </si>
  <si>
    <t>CP007</t>
  </si>
  <si>
    <t>Stool Occult Blood Test</t>
  </si>
  <si>
    <t>CP011</t>
  </si>
  <si>
    <t>Urine Pregnancy Test (UPT)</t>
  </si>
  <si>
    <t>DRCHINTAM</t>
  </si>
  <si>
    <t>DC Autoimmune Care (101 Parameters)</t>
  </si>
  <si>
    <t>HM001</t>
  </si>
  <si>
    <t>Absolute Eosinophil Count (AEC) Test</t>
  </si>
  <si>
    <t>HM003</t>
  </si>
  <si>
    <t>Activated Partial Thromboplastin Time (APTT) Test</t>
  </si>
  <si>
    <t>HM006A</t>
  </si>
  <si>
    <t>Coagulation Panel Test</t>
  </si>
  <si>
    <t>HM015</t>
  </si>
  <si>
    <t>Indirect Coombs (ICT) Serum Test</t>
  </si>
  <si>
    <t>HM016</t>
  </si>
  <si>
    <t>Malaria Antigen Detection Test (Rapid)</t>
  </si>
  <si>
    <t>HM017</t>
  </si>
  <si>
    <t>Malaria Parasite Test (MP) Smear</t>
  </si>
  <si>
    <t>HM021</t>
  </si>
  <si>
    <t>Platelet Count Test</t>
  </si>
  <si>
    <t>HM023</t>
  </si>
  <si>
    <t>Reticulocyte Count Test</t>
  </si>
  <si>
    <t>HM038</t>
  </si>
  <si>
    <t>D Dimer Test</t>
  </si>
  <si>
    <t>HM052</t>
  </si>
  <si>
    <t>HLA B27 (Flow Cytometry) Test</t>
  </si>
  <si>
    <t>HM084</t>
  </si>
  <si>
    <t>CBC with PS Test</t>
  </si>
  <si>
    <t>HPLC Variant</t>
  </si>
  <si>
    <t>LC005</t>
  </si>
  <si>
    <t>Lifecare Health Gold Plus Package</t>
  </si>
  <si>
    <t>LC024</t>
  </si>
  <si>
    <t>Lifecare Silver Health Package</t>
  </si>
  <si>
    <t>MD111</t>
  </si>
  <si>
    <t>Covid RT PCR Test</t>
  </si>
  <si>
    <t>MI001</t>
  </si>
  <si>
    <t>AFB Stain Test (Acid Fast Bacilli)</t>
  </si>
  <si>
    <t>MI015</t>
  </si>
  <si>
    <t>Urine Culture Test</t>
  </si>
  <si>
    <t>MI021</t>
  </si>
  <si>
    <t>Blood Culture &amp; Sensitivity, Bactec Test</t>
  </si>
  <si>
    <t>MI033</t>
  </si>
  <si>
    <t>Genexpert Ultra MTB/RIF Test</t>
  </si>
  <si>
    <t>MI034</t>
  </si>
  <si>
    <t>Helicobacter Pylori Antigen Detection Test</t>
  </si>
  <si>
    <t>PL01</t>
  </si>
  <si>
    <t>Anemia Profile- Essential</t>
  </si>
  <si>
    <t>PL02</t>
  </si>
  <si>
    <t>Antenatal Care Profile (ANC)- Essential</t>
  </si>
  <si>
    <t>PL08A</t>
  </si>
  <si>
    <t>Fever Panel- Basic</t>
  </si>
  <si>
    <t>PL08AD</t>
  </si>
  <si>
    <t>Fever Package- Basic</t>
  </si>
  <si>
    <t>PL08H</t>
  </si>
  <si>
    <t>Fever Package - Essential</t>
  </si>
  <si>
    <t>PL08J</t>
  </si>
  <si>
    <t>Fever Package - Comprehensive</t>
  </si>
  <si>
    <t>PL101</t>
  </si>
  <si>
    <t>Smart Full Body checkup with PSA test</t>
  </si>
  <si>
    <t>PL102</t>
  </si>
  <si>
    <t>Smart Full Body checkup with Total IgE</t>
  </si>
  <si>
    <t>PL103A</t>
  </si>
  <si>
    <t>STD Panel Advance</t>
  </si>
  <si>
    <t>PL103B</t>
  </si>
  <si>
    <t>STD Panel Comprehensive</t>
  </si>
  <si>
    <t>PL105</t>
  </si>
  <si>
    <t>Special Full Body Package</t>
  </si>
  <si>
    <t>PL106D</t>
  </si>
  <si>
    <t>Winter Advance Care Package</t>
  </si>
  <si>
    <t>PL114</t>
  </si>
  <si>
    <t>BP Monitoring Package- Essential</t>
  </si>
  <si>
    <t>PL115</t>
  </si>
  <si>
    <t>Cancer Screening Package Essential - Female</t>
  </si>
  <si>
    <t>PL115A</t>
  </si>
  <si>
    <t>Cancer Screening Package Advance - Female</t>
  </si>
  <si>
    <t>PL115B</t>
  </si>
  <si>
    <t>Cancer Advance Profile - 2 (Female)</t>
  </si>
  <si>
    <t>PL115C</t>
  </si>
  <si>
    <t>Cancer Screening Profile - 2 (Female)</t>
  </si>
  <si>
    <t>PL116</t>
  </si>
  <si>
    <t>Cancer Screening Package Essential - Male</t>
  </si>
  <si>
    <t>PL116A</t>
  </si>
  <si>
    <t>Cancer Screening Package Advance - Male</t>
  </si>
  <si>
    <t>PL119</t>
  </si>
  <si>
    <t>Iron Studies with Ferritin Test</t>
  </si>
  <si>
    <t>PL11A</t>
  </si>
  <si>
    <t>One-Plus-One Smart Full Body Checkup</t>
  </si>
  <si>
    <t>PL11B</t>
  </si>
  <si>
    <t>Smart Pro Full Body Checkup</t>
  </si>
  <si>
    <t>PL11F</t>
  </si>
  <si>
    <t>Winter Care Package</t>
  </si>
  <si>
    <t>PL12</t>
  </si>
  <si>
    <t>Smart Plus Full Body Checkup</t>
  </si>
  <si>
    <t>PL121D</t>
  </si>
  <si>
    <t>Vital Screening Package - Lite</t>
  </si>
  <si>
    <t>PL121K</t>
  </si>
  <si>
    <t>Vital Screening package with Thyroid</t>
  </si>
  <si>
    <t>PL121L</t>
  </si>
  <si>
    <t>Vital Screening Package - Plus</t>
  </si>
  <si>
    <t>PL122</t>
  </si>
  <si>
    <t>Swasth Bharat Full Body Checkup</t>
  </si>
  <si>
    <t>PL124</t>
  </si>
  <si>
    <t>Fit India Full Body Checkup</t>
  </si>
  <si>
    <t>PL124A</t>
  </si>
  <si>
    <t>One-Plus-One Fit India Full Body Checkup</t>
  </si>
  <si>
    <t>PL124D</t>
  </si>
  <si>
    <t>Fit India Full Body Checkup with Free Vitamin D</t>
  </si>
  <si>
    <t>PL124E</t>
  </si>
  <si>
    <t>Smart Plus Full Body Checkup with Vitamin Screening &amp; Free Heart Risk Assessment (HsCRP)</t>
  </si>
  <si>
    <t>PL124F</t>
  </si>
  <si>
    <t>Fit India Full Body Checkup with Vitamin B12</t>
  </si>
  <si>
    <t>PL124G</t>
  </si>
  <si>
    <t>Fit India Full Body Checkup with Vitamin D</t>
  </si>
  <si>
    <t>PL124K</t>
  </si>
  <si>
    <t>One Plus One Fit India Full Body Checkup with Free HbA1c</t>
  </si>
  <si>
    <t>PL127</t>
  </si>
  <si>
    <t>Summer Special Advance Package</t>
  </si>
  <si>
    <t>PL128</t>
  </si>
  <si>
    <t>StayFit Full Body Checkup - Male</t>
  </si>
  <si>
    <t>PL128A</t>
  </si>
  <si>
    <t>Stay Fit Plus Full Body Checkup With Free RA Factor - Female</t>
  </si>
  <si>
    <t>PL128F</t>
  </si>
  <si>
    <t>StayFit Platinum Full Body Checkup Package - Male</t>
  </si>
  <si>
    <t>PL129</t>
  </si>
  <si>
    <t>StayFit Full Body Checkup - Female</t>
  </si>
  <si>
    <t>PL129A</t>
  </si>
  <si>
    <t>Stay Fit Plus Full Body Checkup With Free RA Factor - Male</t>
  </si>
  <si>
    <t>PL129E</t>
  </si>
  <si>
    <t>StayFit Platinum Full Body Checkup Package - Female</t>
  </si>
  <si>
    <t>PL134</t>
  </si>
  <si>
    <t>Father's Special Care Package</t>
  </si>
  <si>
    <t>PL134D</t>
  </si>
  <si>
    <t>Grandma's Special Care Package</t>
  </si>
  <si>
    <t>PL134E</t>
  </si>
  <si>
    <t>Grandpa's Special care package</t>
  </si>
  <si>
    <t>PL134F</t>
  </si>
  <si>
    <t>One Plus One Mother's Special Advance Care Package</t>
  </si>
  <si>
    <t>PL134G</t>
  </si>
  <si>
    <t>Mother's Special Essential Care Package</t>
  </si>
  <si>
    <t>PL134I</t>
  </si>
  <si>
    <t>Mother's Special Comprehensive Care Package</t>
  </si>
  <si>
    <t>PL137A</t>
  </si>
  <si>
    <t>Hirsutism Panel - Essential</t>
  </si>
  <si>
    <t>PL138</t>
  </si>
  <si>
    <t>Anemia Profile- Advance Package</t>
  </si>
  <si>
    <t>PL139</t>
  </si>
  <si>
    <t>Obesity Panel</t>
  </si>
  <si>
    <t>PL13A</t>
  </si>
  <si>
    <t>Advance Full Body Health Check Package with Thyroid Panel</t>
  </si>
  <si>
    <t>PL13B</t>
  </si>
  <si>
    <t>Advance Full Body Checkup With Cancer Screening- Male</t>
  </si>
  <si>
    <t>PL13C</t>
  </si>
  <si>
    <t>Advance Full Body Checkup With Cancer Screening- Female</t>
  </si>
  <si>
    <t>PL13E</t>
  </si>
  <si>
    <t>Advance Full Body Checkup With Alcohol Impact Assessment</t>
  </si>
  <si>
    <t>PL13F</t>
  </si>
  <si>
    <t>Advance Full Body Checkup with STD Panel Comprehensive</t>
  </si>
  <si>
    <t>PL13G</t>
  </si>
  <si>
    <t>One Plus One Advance Full Body Checkup</t>
  </si>
  <si>
    <t>PL13H</t>
  </si>
  <si>
    <t>Advance Full Body Checkup with Free Heart Test (HsCRP)</t>
  </si>
  <si>
    <t>PL140A</t>
  </si>
  <si>
    <t>OvaScreen Test</t>
  </si>
  <si>
    <t>PL140B</t>
  </si>
  <si>
    <t>OvaScreen Advanced Panel</t>
  </si>
  <si>
    <t>PL145C</t>
  </si>
  <si>
    <t>MotherHealth Gold Package</t>
  </si>
  <si>
    <t>PL147A</t>
  </si>
  <si>
    <t>Cardiac Risk Markers- Essential</t>
  </si>
  <si>
    <t>PL147B</t>
  </si>
  <si>
    <t>Cardiac Risk Markers- Advanced</t>
  </si>
  <si>
    <t>PL147C</t>
  </si>
  <si>
    <t>Cardiac Profile - Essential</t>
  </si>
  <si>
    <t>PL147D</t>
  </si>
  <si>
    <t>Cardiac Profile - Advance</t>
  </si>
  <si>
    <t>PL14A</t>
  </si>
  <si>
    <t>One-Plus-One Advance Plus Full Body Checkup</t>
  </si>
  <si>
    <t>PL15</t>
  </si>
  <si>
    <t>Super Advance Full Body Checkup Male</t>
  </si>
  <si>
    <t>PL150</t>
  </si>
  <si>
    <t>Acute Hepatitis Marker Profile</t>
  </si>
  <si>
    <t>PL15A</t>
  </si>
  <si>
    <t>Master Full Body Checkup Package - Male</t>
  </si>
  <si>
    <t>PL15B</t>
  </si>
  <si>
    <t>Master Pro Full Body Checkup - Male</t>
  </si>
  <si>
    <t>PL16A</t>
  </si>
  <si>
    <t>Master Full Body Checkup Package - Women</t>
  </si>
  <si>
    <t>PL175B</t>
  </si>
  <si>
    <t>Thyroid profile advance</t>
  </si>
  <si>
    <t>PL175D</t>
  </si>
  <si>
    <t>Thyroid Screening Panel</t>
  </si>
  <si>
    <t>PL179</t>
  </si>
  <si>
    <t>Gastro care package</t>
  </si>
  <si>
    <t>PL179A</t>
  </si>
  <si>
    <t>Pancreas Profile</t>
  </si>
  <si>
    <t>PL17A</t>
  </si>
  <si>
    <t>Pre Diabetic Screening Package</t>
  </si>
  <si>
    <t>PL17B</t>
  </si>
  <si>
    <t>Diabetes Profile- Essential</t>
  </si>
  <si>
    <t>PL17C</t>
  </si>
  <si>
    <t>Diabetes Profile- Advance with Free HsCRP</t>
  </si>
  <si>
    <t>PL17D</t>
  </si>
  <si>
    <t>Diabetes Profile- Comprehensive with Free HsCRP</t>
  </si>
  <si>
    <t>PL17E</t>
  </si>
  <si>
    <t>Diabetic Care Package</t>
  </si>
  <si>
    <t>PL180</t>
  </si>
  <si>
    <t>Annual health Checkup Package</t>
  </si>
  <si>
    <t>PL180C</t>
  </si>
  <si>
    <t>Annual Health Checkup- Advance with Free HsCRP</t>
  </si>
  <si>
    <t>PL180D</t>
  </si>
  <si>
    <t>Annual Health Checkup- Advance Plus with Free HsCRP</t>
  </si>
  <si>
    <t>PL181</t>
  </si>
  <si>
    <t>Vegetarians Health Checkup</t>
  </si>
  <si>
    <t>PL199B</t>
  </si>
  <si>
    <t>Full Body Checkup With Urine Culture &amp; Sensitivity Test</t>
  </si>
  <si>
    <t>PL204</t>
  </si>
  <si>
    <t>Urinary Tract Infection Panel</t>
  </si>
  <si>
    <t>PL206</t>
  </si>
  <si>
    <t>Lipid &amp; Diabetes Monitoring Test</t>
  </si>
  <si>
    <t>PL207</t>
  </si>
  <si>
    <t>Nutritional Anaemia Package</t>
  </si>
  <si>
    <t>PL212</t>
  </si>
  <si>
    <t>Summer Special Comprehensive Package</t>
  </si>
  <si>
    <t>PL213C</t>
  </si>
  <si>
    <t>Couple Health Checkup Package Comprehensive</t>
  </si>
  <si>
    <t>PL214B</t>
  </si>
  <si>
    <t>Executive Full Body Checkup - Male (Advance)</t>
  </si>
  <si>
    <t>PL214E</t>
  </si>
  <si>
    <t>Executive Full Body Checkup - Female (Advance)</t>
  </si>
  <si>
    <t>PL215</t>
  </si>
  <si>
    <t>Urine Profile</t>
  </si>
  <si>
    <t>PL219A</t>
  </si>
  <si>
    <t>GYM Pre Screening Panel</t>
  </si>
  <si>
    <t>PL219B</t>
  </si>
  <si>
    <t>GYM Fitness Health Checkup - Male</t>
  </si>
  <si>
    <t>PL21B</t>
  </si>
  <si>
    <t>Arthritis Package - Essential</t>
  </si>
  <si>
    <t>PL21C</t>
  </si>
  <si>
    <t>Arthritis Package - Advance</t>
  </si>
  <si>
    <t>PL226D</t>
  </si>
  <si>
    <t>Preconception Screening Package - Female</t>
  </si>
  <si>
    <t>PL238</t>
  </si>
  <si>
    <t>Vitamin Profile Comprehensive</t>
  </si>
  <si>
    <t>PL24</t>
  </si>
  <si>
    <t>Antenatal Care Profile (ANC)- Advance</t>
  </si>
  <si>
    <t>PL246A</t>
  </si>
  <si>
    <t>Diabetes Special Care Package - Essential with Free HsCRP</t>
  </si>
  <si>
    <t>PL249C</t>
  </si>
  <si>
    <t>Winter Special offer with Free Cardiac Screening</t>
  </si>
  <si>
    <t>PL24A</t>
  </si>
  <si>
    <t>Antenatal Care Profile (ANC) - Comprehensive</t>
  </si>
  <si>
    <t>PL266</t>
  </si>
  <si>
    <t>Kids Total Care Health Checkup- Essential</t>
  </si>
  <si>
    <t>PL267</t>
  </si>
  <si>
    <t>Nutritional Insights Complete Care Package</t>
  </si>
  <si>
    <t>PL268C</t>
  </si>
  <si>
    <t>Couple's Special Full Body Package with Free Heart Health Checkup</t>
  </si>
  <si>
    <t>PL269B</t>
  </si>
  <si>
    <t>Women Health Package with Free Hormone Screening- Advanced</t>
  </si>
  <si>
    <t>PL287</t>
  </si>
  <si>
    <t>Basic Health Screening Package</t>
  </si>
  <si>
    <t>PL290</t>
  </si>
  <si>
    <t>Fever Check Package (Dengue, Chikungunya, Malaria, Typhoid)</t>
  </si>
  <si>
    <t>PL309</t>
  </si>
  <si>
    <t>Fit India Full Body checkup with Vitamin Screening (Non Fasting)</t>
  </si>
  <si>
    <t>PL315</t>
  </si>
  <si>
    <t>Fit India Full Body Checkup With Vitamin Screening with Free HsCRP (Non Fasting)</t>
  </si>
  <si>
    <t>PL333</t>
  </si>
  <si>
    <t>Fit India Full Body Checkup With Vitamin Screening and Free Iron Studies</t>
  </si>
  <si>
    <t>PL334B</t>
  </si>
  <si>
    <t>Fit India Full Body Checkup - Comprehensive</t>
  </si>
  <si>
    <t>PL335C</t>
  </si>
  <si>
    <t>Super Health Full Body Checkup - Comprehensive (Male)</t>
  </si>
  <si>
    <t>PL335F</t>
  </si>
  <si>
    <t>Super Health Full Body Checkup - Comprehensive (Female)</t>
  </si>
  <si>
    <t>PL338A</t>
  </si>
  <si>
    <t>Medicine Overuse Package</t>
  </si>
  <si>
    <t>PL338B</t>
  </si>
  <si>
    <t>Medicine Overuse Package - Extended</t>
  </si>
  <si>
    <t>PL347</t>
  </si>
  <si>
    <t>Women's Essential Screening with Free Thyroid</t>
  </si>
  <si>
    <t>PL35</t>
  </si>
  <si>
    <t>VitaCliffe(Vitamin B12, Vitamin D,TSH)</t>
  </si>
  <si>
    <t>PL39E</t>
  </si>
  <si>
    <t>Monsoon Special Care Package</t>
  </si>
  <si>
    <t>PL39H</t>
  </si>
  <si>
    <t>Monsoon Fever Package- Advance</t>
  </si>
  <si>
    <t>PL45A</t>
  </si>
  <si>
    <t>Women Health package</t>
  </si>
  <si>
    <t>PL47</t>
  </si>
  <si>
    <t>Fatigue Syndrome Test</t>
  </si>
  <si>
    <t>PL54</t>
  </si>
  <si>
    <t>Vital Full Body Checkup</t>
  </si>
  <si>
    <t>PL61B</t>
  </si>
  <si>
    <t>Polycystic Ovary Syndrome (PCOS) Panel- Advance</t>
  </si>
  <si>
    <t>PL61C</t>
  </si>
  <si>
    <t>Polycystic Ovary Syndrome (PCOS) Panel- Comprehensive</t>
  </si>
  <si>
    <t>PL71B</t>
  </si>
  <si>
    <t>Fertility Panel - Female</t>
  </si>
  <si>
    <t>PL72</t>
  </si>
  <si>
    <t>Fertility Panel - Male</t>
  </si>
  <si>
    <t>PL73</t>
  </si>
  <si>
    <t>Smart Full Body Check up with RA factor</t>
  </si>
  <si>
    <t>PL74</t>
  </si>
  <si>
    <t>Smart Full Body Check up with Vitamin D</t>
  </si>
  <si>
    <t>PL75</t>
  </si>
  <si>
    <t>Smart Plus Full Body Checkup With Vitamin Screening</t>
  </si>
  <si>
    <t>PL75A</t>
  </si>
  <si>
    <t>Independence Day Special Health Care Package</t>
  </si>
  <si>
    <t>PL80D</t>
  </si>
  <si>
    <t>Winter Special Care Package</t>
  </si>
  <si>
    <t>PL84</t>
  </si>
  <si>
    <t>Allergy Screening Package - Essential</t>
  </si>
  <si>
    <t>PL85E</t>
  </si>
  <si>
    <t>Senior Citizen Full Body Checkup - Male (Advance)</t>
  </si>
  <si>
    <t>PL85F</t>
  </si>
  <si>
    <t>Senior Citizen Full Body Checkup - Male (Comprehensive)</t>
  </si>
  <si>
    <t>PL86D</t>
  </si>
  <si>
    <t>Senior Citizen Full Body Checkup - Female (Essential)</t>
  </si>
  <si>
    <t>PL86E</t>
  </si>
  <si>
    <t>Senior Citizen Full Body Checkup - Female (Advance)</t>
  </si>
  <si>
    <t>PL86F</t>
  </si>
  <si>
    <t>Senior Citizen Full Body Checkup - Female (Comprehensive)</t>
  </si>
  <si>
    <t>PL90</t>
  </si>
  <si>
    <t>Smart Full body Checkup with Hs-CRP</t>
  </si>
  <si>
    <t>PL95A</t>
  </si>
  <si>
    <t>Pre Operative Extended Panel</t>
  </si>
  <si>
    <t>PL98</t>
  </si>
  <si>
    <t>Smart Full Body checkup with testosterone Test</t>
  </si>
  <si>
    <t>SE002</t>
  </si>
  <si>
    <t>ANA By IFA (Anti Nuclear Antibody) Screening End Point Titre, Serum</t>
  </si>
  <si>
    <t>SE002A</t>
  </si>
  <si>
    <t>Anti Nuclear Antibody (ANA) Test By ELISA</t>
  </si>
  <si>
    <t>SE004</t>
  </si>
  <si>
    <t>Chikungunya IgM, Rapid Card Test</t>
  </si>
  <si>
    <t>SE006</t>
  </si>
  <si>
    <t>Dengue NS1 Antigen Test by ELISA</t>
  </si>
  <si>
    <t>SE010</t>
  </si>
  <si>
    <t>Hepatitis C antibody (HCV) Test - Rapid card</t>
  </si>
  <si>
    <t>SE011</t>
  </si>
  <si>
    <t>HIV Antibody Rapid Screening Test</t>
  </si>
  <si>
    <t>SE013</t>
  </si>
  <si>
    <t>Torch Panel IgG &amp; IgM Test (10 Parameters)</t>
  </si>
  <si>
    <t>SE015</t>
  </si>
  <si>
    <t>Torch Panel IgM Test (5 Parameters)</t>
  </si>
  <si>
    <t>SE016</t>
  </si>
  <si>
    <t>Typhoid (Typhidot) Test IGM</t>
  </si>
  <si>
    <t>SE017</t>
  </si>
  <si>
    <t>VDRL Test</t>
  </si>
  <si>
    <t>SE019T</t>
  </si>
  <si>
    <t>WIDAL Test By Tube Agglutination</t>
  </si>
  <si>
    <t>SE033</t>
  </si>
  <si>
    <t>ANA Profile - Qualitative Test</t>
  </si>
  <si>
    <t>SE114</t>
  </si>
  <si>
    <t>Hepatitis B Surface Antibodies (HBsAb) Test</t>
  </si>
  <si>
    <t>SE119</t>
  </si>
  <si>
    <t>Hepatitis C Antibody (HCV), Qualitative Test</t>
  </si>
  <si>
    <t>SE167</t>
  </si>
  <si>
    <t>Rubella IgG &amp; IgM Antibodies Test</t>
  </si>
  <si>
    <t>SE168</t>
  </si>
  <si>
    <t>Rubella IgG Antibodies Test</t>
  </si>
  <si>
    <t>SE187</t>
  </si>
  <si>
    <t>Treponema pallidium hemagglutination assay (tpha) Test</t>
  </si>
  <si>
    <t>SE252</t>
  </si>
  <si>
    <t>Typhoid (Typhidot) Test IGG &amp; IGM</t>
  </si>
  <si>
    <t>SE337</t>
  </si>
  <si>
    <t>Quantiferon TB IGRA Test</t>
  </si>
  <si>
    <t>SE343</t>
  </si>
  <si>
    <t>TTG-IgA (Tissue Transglutaminase) Test</t>
  </si>
  <si>
    <t>SE398</t>
  </si>
  <si>
    <t>VDRL - RPR Titre (Semi Quant.) Test</t>
  </si>
  <si>
    <t>SE448</t>
  </si>
  <si>
    <t>p24 antigen with HIV 1&amp;2 Antibody Test</t>
  </si>
  <si>
    <t>SE689W</t>
  </si>
  <si>
    <t>Comprehensive Allergy Essential Panel Test</t>
  </si>
  <si>
    <t>SE703</t>
  </si>
  <si>
    <t>HIV (ELISA) Test</t>
  </si>
  <si>
    <t>SE704</t>
  </si>
  <si>
    <t>HBSAG (ELISA)</t>
  </si>
  <si>
    <t>SE705</t>
  </si>
  <si>
    <t>HCV (ELISA)</t>
  </si>
  <si>
    <t>SE729</t>
  </si>
  <si>
    <t>Allergy Comprehensive Plus - Food, Inhalant &amp; Skin Allergens (107 Allergens)</t>
  </si>
  <si>
    <t>SP019D</t>
  </si>
  <si>
    <t>Recommendation Package 4</t>
  </si>
  <si>
    <t>SP019L</t>
  </si>
  <si>
    <t>Recommendation Package 12</t>
  </si>
  <si>
    <t>SP356C</t>
  </si>
  <si>
    <t>Good Health Profile 3</t>
  </si>
  <si>
    <t>SP404</t>
  </si>
  <si>
    <t>Special Health Check Package</t>
  </si>
  <si>
    <t>SP404A</t>
  </si>
  <si>
    <t>Nutritionist Hair Panel- Male</t>
  </si>
  <si>
    <t>SP404E</t>
  </si>
  <si>
    <t>Nutritionist Hair Panel- Female</t>
  </si>
  <si>
    <t>SP454</t>
  </si>
  <si>
    <t>Autoriders Camp</t>
  </si>
  <si>
    <t>SP482</t>
  </si>
  <si>
    <t>Siemens Energy Employee Health Checkup</t>
  </si>
  <si>
    <t>SP500A</t>
  </si>
  <si>
    <t>Dr Madhwani Basic Package</t>
  </si>
  <si>
    <t>SP500B</t>
  </si>
  <si>
    <t>Madhwani Basic Package with 1 Cancer Marker- Male</t>
  </si>
  <si>
    <t>SP534</t>
  </si>
  <si>
    <t>TimesPrime Select – Redcliffe Exclusive Health Package</t>
  </si>
  <si>
    <t>Funnel Step, (Android)</t>
  </si>
  <si>
    <t>Step - 1  add_to_cart</t>
  </si>
  <si>
    <t>Step - 2  cart_confirm_tests</t>
  </si>
  <si>
    <t>Step - 3  cart_add_patients</t>
  </si>
  <si>
    <t>Step - 4  cart_address_time</t>
  </si>
  <si>
    <t>Step - 5  rcl_selected_slot</t>
  </si>
  <si>
    <t>Step - 6  cart_payment</t>
  </si>
  <si>
    <t>Step - 7  purchase</t>
  </si>
  <si>
    <t>FY27 CR (A2C&gt;Purc)</t>
  </si>
  <si>
    <t>FY26 CR (A2C&gt;Purc)</t>
  </si>
  <si>
    <t>GrowthA2C</t>
  </si>
  <si>
    <t>Vitamin D Test (Vitamin D 25 Hydroxy)</t>
  </si>
  <si>
    <t>Blood Sugar Post Prandial</t>
  </si>
  <si>
    <t>Blood Sugar Post Pradial</t>
  </si>
  <si>
    <t>Senior Citizen Full Body Checkup - Male (Essential)</t>
  </si>
  <si>
    <t>Sedentary Lifestyle Screening Package C</t>
  </si>
  <si>
    <t>Low Energy Screening Package</t>
  </si>
  <si>
    <t>STD Panel Essential Plus</t>
  </si>
  <si>
    <t>Fever Package - Comprehensive (Includes Dengue, Chikungunya, Malaria, Typhoid Tests)</t>
  </si>
  <si>
    <t>Lipid Profile Direct</t>
  </si>
  <si>
    <t>Advance Full Body Checkup</t>
  </si>
  <si>
    <t>Cardiac Profile - Comprehensive Plus</t>
  </si>
  <si>
    <t>Semen Culture (Automated)</t>
  </si>
  <si>
    <t>Advance Cardiovascular Check</t>
  </si>
  <si>
    <t>Junk Diet Package - Extended</t>
  </si>
  <si>
    <t>Fathers Special Care Package - Essential</t>
  </si>
  <si>
    <t>Anger Impact Package</t>
  </si>
  <si>
    <t>Electrolytes (Na/K/Cl), Spot Urine Test</t>
  </si>
  <si>
    <t>Polycystic Ovary Syndrome (PCOS) Panel - Essential</t>
  </si>
  <si>
    <t>Junk Diet Package</t>
  </si>
  <si>
    <t>Urine Glucose PP Test</t>
  </si>
  <si>
    <t>AMH Plus for PCOS</t>
  </si>
  <si>
    <t>Bilirubin (Total, Direct &amp; Indirect) Test</t>
  </si>
  <si>
    <t>Nutritionist Thyroid Panel</t>
  </si>
  <si>
    <t>Triglycerides Test</t>
  </si>
  <si>
    <t>Dengue Fever Panel</t>
  </si>
  <si>
    <t>Heartburn Fact Finder Package</t>
  </si>
  <si>
    <t>HIV Early Screen Test</t>
  </si>
  <si>
    <t>Lipid Profile Comprehensive</t>
  </si>
  <si>
    <t>Troponin T, Rapid Card Test</t>
  </si>
  <si>
    <t>Double Marker Test</t>
  </si>
  <si>
    <t>Hashimoto / Hypothyroidism Panel</t>
  </si>
  <si>
    <t>Kids Total Care Health Checkup- Advanced</t>
  </si>
  <si>
    <t>Bilirubin Direct Test</t>
  </si>
  <si>
    <t>Glucose Challenge Test (GCT)- 50 Grams Of Glucose</t>
  </si>
  <si>
    <t>Hair Fall Screening Package</t>
  </si>
  <si>
    <t>Phosphorus Test</t>
  </si>
  <si>
    <t>Sexual Wellness Check up Panel</t>
  </si>
  <si>
    <t>Advance Full Body Checkup with Covid Antibody</t>
  </si>
  <si>
    <t>Antenatal Care Profile (ANC)- Comprehensive with Vitamins</t>
  </si>
  <si>
    <t>Fever Post Recovery Panel</t>
  </si>
  <si>
    <t>MotherHealth Package - Essential</t>
  </si>
  <si>
    <t>Senior Citizen Full Body Checkup - Female (Advance) (Non Fasting)</t>
  </si>
  <si>
    <t>Smart Plus Full Body Checkup With Vitamin &amp; Arthritis (RA Factor) Test</t>
  </si>
  <si>
    <t>Special Health Care Package</t>
  </si>
  <si>
    <t>Urine Bile Salt &amp; Bile Pigments Test</t>
  </si>
  <si>
    <t>Culture Aerobic, Sputum (Automated)</t>
  </si>
  <si>
    <t>Lithium Test</t>
  </si>
  <si>
    <t>One Plus One Family Duo Package</t>
  </si>
  <si>
    <t>Protein 24 Hrs Urine Test</t>
  </si>
  <si>
    <t>Rheumatoid Panel (Rheumatoid Factor, Anti CCP) Test</t>
  </si>
  <si>
    <t>Sedentary Lifestyle Screening Panel Test</t>
  </si>
  <si>
    <t>Women Health Package Comprehensive with PCOS Panel</t>
  </si>
  <si>
    <t>Alcohol Impact Assessment Package</t>
  </si>
  <si>
    <t>Annual Full Body Checkup - Essential</t>
  </si>
  <si>
    <t>CA 19.9 Test</t>
  </si>
  <si>
    <t>Executive Full Body Checkup - Female (Essential)</t>
  </si>
  <si>
    <t>Father's Special Health Checkup- Advance with Free HsCRP</t>
  </si>
  <si>
    <t>Fatty Liver Screening Package</t>
  </si>
  <si>
    <t>Fit India Full Body Checkup with Vitamin &amp; Hormone Screening for Women</t>
  </si>
  <si>
    <t>Inflammatory Bowel Disease (IBD) Panel</t>
  </si>
  <si>
    <t>Kidney Care Package</t>
  </si>
  <si>
    <t>Luteinizing Hormone (LH) Test</t>
  </si>
  <si>
    <t>Pre Employment Test</t>
  </si>
  <si>
    <t>Sedentary Lifestyle Screening Package B</t>
  </si>
  <si>
    <t>Smart Plus Full Body Checkup With Vitamin Screening (Non Fasting)</t>
  </si>
  <si>
    <t>Sperm DNA Fragmentation Test</t>
  </si>
  <si>
    <t>Swasth Bharat Full Body Checkup with Vitamin screening</t>
  </si>
  <si>
    <t>Tacrolimus Test</t>
  </si>
  <si>
    <t>Throat Swab Culture (Automated)</t>
  </si>
  <si>
    <t>Thyroid Preventive Care Package</t>
  </si>
  <si>
    <t>Vital Screening Package with Hormone Screening for Women</t>
  </si>
  <si>
    <t>Weight Management Screening</t>
  </si>
  <si>
    <t>Alkaline Phosphatase (ALP) Test</t>
  </si>
  <si>
    <t>Cortisol Evening Sample Test</t>
  </si>
  <si>
    <t>Food Allergy Basic Panel Test</t>
  </si>
  <si>
    <t>Hairfall Package- Advance</t>
  </si>
  <si>
    <t>Premarital Screening Package - Female</t>
  </si>
  <si>
    <t>TB Gold Plus (IGRA)</t>
  </si>
  <si>
    <t>Thalassemia Profile</t>
  </si>
  <si>
    <t>Thyroid Profile Extensive</t>
  </si>
  <si>
    <t>Winter Special offer with free Arthritis Testing</t>
  </si>
  <si>
    <t>Anger Impact Package - Extended</t>
  </si>
  <si>
    <t>Drugs Of Abuse - Urine: 12 Drugs Test</t>
  </si>
  <si>
    <t>Fit India Full Body Checkup With Vitamin Screening with Free HsCRP</t>
  </si>
  <si>
    <t>Free HsCRP with Stayfit Full body Checkup - Male</t>
  </si>
  <si>
    <t>Herpes Simplex Virus (HSV) Types 1 &amp; 2 IgG &amp; IgM Antibodies (Combined)</t>
  </si>
  <si>
    <t>Kidney Stone Analysis Test</t>
  </si>
  <si>
    <t>Premarital Screening Package - Male</t>
  </si>
  <si>
    <t>Sedentary Lifestyle Screening Package A</t>
  </si>
  <si>
    <t>STD Panel Qualitative PCR Test</t>
  </si>
  <si>
    <t>Summer Special Advance Package (Non Fasting)</t>
  </si>
  <si>
    <t>Womens Day Special Full Body Check up with Ovarian Cancer Screening</t>
  </si>
  <si>
    <t>1T Penta Marker- AutoDELFIA (LifeCycle)</t>
  </si>
  <si>
    <t>Advance Full Body Health Check Package with Thyroid Panel (Non Fasting)</t>
  </si>
  <si>
    <t>Amenorrhea Panel</t>
  </si>
  <si>
    <t>Anti Sperm Antibodies Test</t>
  </si>
  <si>
    <t>Arthritis Package - Comprehensive</t>
  </si>
  <si>
    <t>CD4 Percentage &amp; Absolute Count Test</t>
  </si>
  <si>
    <t>Couple Health Checkup Package Advance</t>
  </si>
  <si>
    <t>Dengue NS1 Screening (Dengue Antigen - ELISA, CBC, CRP)</t>
  </si>
  <si>
    <t>Diabetes Check Package</t>
  </si>
  <si>
    <t>Double Marker Test- Auto-Delfia</t>
  </si>
  <si>
    <t>Fitness Check package</t>
  </si>
  <si>
    <t>Fitness Package Advanced - Male</t>
  </si>
  <si>
    <t>FRAT Folate Receptor Autoantibody Test</t>
  </si>
  <si>
    <t>Glucose Fasting Test</t>
  </si>
  <si>
    <t>Herpes Simplex Virus (HSV) 1 &amp; 2 IgM Ab (Combined)</t>
  </si>
  <si>
    <t>Hypertension Profile Advance</t>
  </si>
  <si>
    <t>Male Hormone Profile- Essential</t>
  </si>
  <si>
    <t>Mother's Special Advance Care Package</t>
  </si>
  <si>
    <t>New Year Special Care Package with Free Heart Risk Assessment</t>
  </si>
  <si>
    <t>Nutritionist PCOD Panel</t>
  </si>
  <si>
    <t>Nutritionist Skin Panel- Female</t>
  </si>
  <si>
    <t>Paediatric- Blood Culture &amp; Sensitivity, Bactec Test</t>
  </si>
  <si>
    <t>Polycystic Ovary Syndrome (PCOS) Panel - Comprehensive Plus</t>
  </si>
  <si>
    <t>Sodium, Spot Urine Test</t>
  </si>
  <si>
    <t>Super Advance Full Body Checkup Female</t>
  </si>
  <si>
    <t>TLC &amp; DLC Test</t>
  </si>
  <si>
    <t>Total Protein Test</t>
  </si>
  <si>
    <t>Total T4 (Thyroxine) Test</t>
  </si>
  <si>
    <t>Urine Glucose Fasting Test</t>
  </si>
  <si>
    <t>Urine Sugar Random Test</t>
  </si>
  <si>
    <t>Women Health Package with Free Hormone Screening- Essential</t>
  </si>
  <si>
    <t>Acne (Pimples) Panel</t>
  </si>
  <si>
    <t>Advance Full Body Checkup With Hypertension Profile</t>
  </si>
  <si>
    <t>Advance Plus Full Body Checkup with Metal Profile</t>
  </si>
  <si>
    <t>Allergy Panel Basic: Food, Drugs &amp; Inhalant (150 Allergens) By EIA</t>
  </si>
  <si>
    <t>Allergy Screening Package- Advance (Above 5 Years)</t>
  </si>
  <si>
    <t>Allergy: Aspergillus Fumigatus Specific IgE Test By EIA</t>
  </si>
  <si>
    <t>Anti Phospholipid Antibody (APLA) Panel</t>
  </si>
  <si>
    <t>Arthritis Package - Essential (Non Fasting)</t>
  </si>
  <si>
    <t>Arthritis Screening Package</t>
  </si>
  <si>
    <t>Chlamydia Trachomatis IgA, IgG &amp; IgM Antibodies Test</t>
  </si>
  <si>
    <t>Creatinine 24 Hrs Urine Test</t>
  </si>
  <si>
    <t>Culture Aerobic, Stool (Automated)</t>
  </si>
  <si>
    <t>DCP-Decarboxy Prothrombin PIVKA-II Test</t>
  </si>
  <si>
    <t>Dengue Fever Panel - Advance</t>
  </si>
  <si>
    <t>Dengue Fever Panel - Comprehensive</t>
  </si>
  <si>
    <t>Double Marker Test + PLGF- Roche Test</t>
  </si>
  <si>
    <t>Drugs Allergy Basic Panel Test 42 Allergens</t>
  </si>
  <si>
    <t>Drugs Of Abuse: Cannabinoids Test</t>
  </si>
  <si>
    <t>FIB-4 INDEX</t>
  </si>
  <si>
    <t>Full Body Package with Thyroid Panel- Comprehensive</t>
  </si>
  <si>
    <t>Fungal Culture Test</t>
  </si>
  <si>
    <t>Fungal Stain Test</t>
  </si>
  <si>
    <t>GYM Pro Health Checkup - Male</t>
  </si>
  <si>
    <t>Heartburn Fact Finder Package - Extended</t>
  </si>
  <si>
    <t>Helicobacter Pylori IgG Antibodies Test</t>
  </si>
  <si>
    <t>Hepatitis A Virus (HAV) IgG &amp; IgM Antibodies Test</t>
  </si>
  <si>
    <t>Herpes Simplex Virus (HSV) IgG Type 1Antibodies Test</t>
  </si>
  <si>
    <t>HLA B27 Test By RT PCR</t>
  </si>
  <si>
    <t>Liver Kidney Function Profile</t>
  </si>
  <si>
    <t>Microalbumin Quantitative 24 hours Urine</t>
  </si>
  <si>
    <t>MotherHealth Silver Package</t>
  </si>
  <si>
    <t>Neisseria Gonorrhoeae DNA Qualitative, PCR Test</t>
  </si>
  <si>
    <t>Osmolality, Spot Urine Test</t>
  </si>
  <si>
    <t>Ova And Parasite DetectionConcentration Method Test Stool</t>
  </si>
  <si>
    <t>Procalcitonin (pct) Test</t>
  </si>
  <si>
    <t>Senior Citizen Full Body Checkup - Female (Essential) (Non Fasting)</t>
  </si>
  <si>
    <t>Stay Fit Plus Full Body Checkup With Free RA Factor - Male  (Non Fasting)</t>
  </si>
  <si>
    <t>StayFit Full Body Checkup - Male (Non Fasting)</t>
  </si>
  <si>
    <t>Stress Impact- Male</t>
  </si>
  <si>
    <t>Summer Special Essential Package</t>
  </si>
  <si>
    <t>Super Health Full Body Checkup- Advance (Female)</t>
  </si>
  <si>
    <t>Supersaver Senior Citizen Care Package Pack for 2</t>
  </si>
  <si>
    <t>Thyroid Profile Test</t>
  </si>
  <si>
    <t>Torch Panel IgG (5 Parameters)</t>
  </si>
  <si>
    <t>Women Health Package with Free Hormone Screening- Comprehensive</t>
  </si>
  <si>
    <t>Acetone Urine (Qualitative) Test</t>
  </si>
  <si>
    <t>Adrenocorticotropic Hormone (ACTH) Test</t>
  </si>
  <si>
    <t>AFB Culture Test</t>
  </si>
  <si>
    <t>Albumin Test</t>
  </si>
  <si>
    <t>Aldolase Test</t>
  </si>
  <si>
    <t>Allergic Bronchopulmonary Aspergillosis (ABPA) Panel</t>
  </si>
  <si>
    <t>Allergy Panel Advanced- Comprehensive Advance (73 Allergen)</t>
  </si>
  <si>
    <t>ANA Blot (25 Antigen)</t>
  </si>
  <si>
    <t>ANA IFA Pattern Identification On Hep-2 Cells With Reflex Titers</t>
  </si>
  <si>
    <t>Androstenedione Test</t>
  </si>
  <si>
    <t>Annual Full Body Checkup - Comprehensive</t>
  </si>
  <si>
    <t>Anti Streptolysin O (ASO), Quantitative Test</t>
  </si>
  <si>
    <t>Apolipoprotein A-I Test</t>
  </si>
  <si>
    <t>Bilirubin Total Test</t>
  </si>
  <si>
    <t>Brother's Special Care Package with Free Heart Test (HsCRP)</t>
  </si>
  <si>
    <t>CA 15.3  Test</t>
  </si>
  <si>
    <t>Celiac Disease Screening Package</t>
  </si>
  <si>
    <t>Ceruloplasmin Test</t>
  </si>
  <si>
    <t>Chikungunya Panel</t>
  </si>
  <si>
    <t>Cortisol Free 24 Hrs Urine Test</t>
  </si>
  <si>
    <t>Cortisol Suppression by Dexamethasone Test, Overnight Low Dose</t>
  </si>
  <si>
    <t>Creatinine Test</t>
  </si>
  <si>
    <t>Cytology For Malignant Cells Test</t>
  </si>
  <si>
    <t>Dairy Allergy Basic Panel Test</t>
  </si>
  <si>
    <t>Dengue IGG &amp; IGM Antibody Test, EIA</t>
  </si>
  <si>
    <t>Dengue IgM Antibody Test, EIA</t>
  </si>
  <si>
    <t>Echinococcus IgG Antibodies (Hydiated Serology) Test</t>
  </si>
  <si>
    <t>Egg White (Anda) Allergy Test By ImmunoCAP</t>
  </si>
  <si>
    <t>Ena profile/Anti Nuclear Aantibodies (ANA), Quantitative Profile</t>
  </si>
  <si>
    <t>Female Hormones Screening</t>
  </si>
  <si>
    <t>Fever Panel With Covid-19 RT PCR</t>
  </si>
  <si>
    <t>Free Androgen Index Test</t>
  </si>
  <si>
    <t>Free Light Chain Assay (kappa &amp; Lambda) Test - Serum</t>
  </si>
  <si>
    <t>Frequent Pain Assessment Package</t>
  </si>
  <si>
    <t>Fructosamine Test</t>
  </si>
  <si>
    <t>Full Body Package with Thyroid Panel- Advanced</t>
  </si>
  <si>
    <t>G6PD, Qualitative (Glucose-6-Phosphate Dehydrogenase) Test</t>
  </si>
  <si>
    <t>GLP-1 Weight management package- Pre Treatment (Baseline)</t>
  </si>
  <si>
    <t>Glucose PP (Post Prandial) Test</t>
  </si>
  <si>
    <t>Gut Microbiome Test</t>
  </si>
  <si>
    <t>HCG Maternal Marker (Pregnancy) Test</t>
  </si>
  <si>
    <t>Helicobacter Pylori IgA Antibodies Test</t>
  </si>
  <si>
    <t>Hemoglobin &amp; Hematocrit Test</t>
  </si>
  <si>
    <t>Hepatitis A Virus (HAV) IgM Antibodies Test</t>
  </si>
  <si>
    <t>Hirsutism Panel - Advanced</t>
  </si>
  <si>
    <t>HIV 1 Viral Load Test</t>
  </si>
  <si>
    <t>HIV Antibodies (confirmation) Test by Western Blot</t>
  </si>
  <si>
    <t>Holi Special Full Body Checkup with Free Allergy Screening</t>
  </si>
  <si>
    <t>Immunoglobulin G (IgG) Test</t>
  </si>
  <si>
    <t>Insulin Random</t>
  </si>
  <si>
    <t>LDL Cholesterol  Direct Test</t>
  </si>
  <si>
    <t>Liver Function Extended Panel</t>
  </si>
  <si>
    <t>Malaria Screening Panel</t>
  </si>
  <si>
    <t>Master Pro Full Body Checkup - Female</t>
  </si>
  <si>
    <t>Mens Weight Management Panel</t>
  </si>
  <si>
    <t>Monsoon Fever Package- Comprehensive</t>
  </si>
  <si>
    <t>MotherHealth Platinum Package</t>
  </si>
  <si>
    <t>Nicotine / Cotinine Quantitative Urine Test</t>
  </si>
  <si>
    <t>Nicotine / Cotinine Quantitative, Serum Test</t>
  </si>
  <si>
    <t>Non Alcoholic Fatty Liver Disease (NAFLD) Fibrosis Score Test</t>
  </si>
  <si>
    <t>Nutrition Choice</t>
  </si>
  <si>
    <t>Nutritionist Smokers Panel Advanced</t>
  </si>
  <si>
    <t>Nutritionist Vitamin Profile</t>
  </si>
  <si>
    <t>One Plus One Annual Health Checkup- Advance Plus with Free HsCRP</t>
  </si>
  <si>
    <t>One Plus One Fit India Family Care Package</t>
  </si>
  <si>
    <t>One Plus One Smart Full Body Checkup (Non Fasting)</t>
  </si>
  <si>
    <t>Pancreatic Elastase Stool Test</t>
  </si>
  <si>
    <t>Pooled Prolactin Test</t>
  </si>
  <si>
    <t>Protein Electrophoresis, Serum Test</t>
  </si>
  <si>
    <t>Protein Spot Urine Test</t>
  </si>
  <si>
    <t>Rabies Virus IgG Antibody Test</t>
  </si>
  <si>
    <t>RBC Folate Test</t>
  </si>
  <si>
    <t>Rubella IgM Antibodies Test</t>
  </si>
  <si>
    <t>Senior Citizen Full Body Checkup - Male (Essential) (Non Fasting)</t>
  </si>
  <si>
    <t>Sister's Special Care Package with Free Hair Health Analysis</t>
  </si>
  <si>
    <t>Smart Plus Full Body Checkup with Vitamin Screening &amp; Free Heart Risk Assessment (HsCRP) (Non Fasting)</t>
  </si>
  <si>
    <t>Smoking Impact Assessment Profile Advance</t>
  </si>
  <si>
    <t>Student Wellness Package- Essential</t>
  </si>
  <si>
    <t>Super Health Full Body Checkup- Male</t>
  </si>
  <si>
    <t>Super Tax Saver Essential Package - Female</t>
  </si>
  <si>
    <t>Syphilis Antibodies Test</t>
  </si>
  <si>
    <t>Thyroglobulin Test</t>
  </si>
  <si>
    <t>Tuberculosis (TB) Panel</t>
  </si>
  <si>
    <t>Uric Acid 24 Hrs Urine Test</t>
  </si>
  <si>
    <t>Urine Calcium &amp; Creatinine Ratio Test</t>
  </si>
  <si>
    <t>Valentine's Special with Free Heart Health Checkup- Female</t>
  </si>
  <si>
    <t>Valproic Acid Test</t>
  </si>
  <si>
    <t>Varicella Zoster Virus (VZV) IgM Antibodies (Chicken Pox) Test</t>
  </si>
  <si>
    <t>Women Smart Health Package</t>
  </si>
  <si>
    <t>Womens Weight Management Panel</t>
  </si>
  <si>
    <t>1,25-Dihydroxy vitamin D Test</t>
  </si>
  <si>
    <t>2T Quadruple Marker (AutoDELFIA)</t>
  </si>
  <si>
    <t>17-Alpha Hydroxyprogesterone Test</t>
  </si>
  <si>
    <t>ABPA Screen (Allergic Bronchopulmonary Aspergillosis) Test</t>
  </si>
  <si>
    <t>Acetylcholine Receptor (ACHR) Antibody Test</t>
  </si>
  <si>
    <t>Advance Full Body Checkup With Alcohol Impact Assessment (Non Fasting)</t>
  </si>
  <si>
    <t>Advance Full Body Checkup With Hypertension Profile (Non Fasting)</t>
  </si>
  <si>
    <t>Advance Glucometabolic Profile</t>
  </si>
  <si>
    <t>Advance Plus Full Body Checkup with Cancer Screening for Women</t>
  </si>
  <si>
    <t>Albumin Test by Spot Urine</t>
  </si>
  <si>
    <t>ANCA by IFA Test</t>
  </si>
  <si>
    <t>Andrology Panel</t>
  </si>
  <si>
    <t>Anemia Profile for Female- Comprehensive</t>
  </si>
  <si>
    <t>Anti Aging Profile (Male)</t>
  </si>
  <si>
    <t>Anti Double Stranded DNA (DsDNA) Test By IFA</t>
  </si>
  <si>
    <t>Anti Gliadin IgA Antibodies Test</t>
  </si>
  <si>
    <t>Anti Gliadin IgG Antibodies Test</t>
  </si>
  <si>
    <t>Anti MPO Antibodies (Anti Myleoperoxidase Antibodies)- pANCA Test</t>
  </si>
  <si>
    <t>Anti Phospholipase A2 Receptor Test (PLA2R)</t>
  </si>
  <si>
    <t>Anti PR3 Antibodies-cANCA Test</t>
  </si>
  <si>
    <t>Apolipoprotein- E Test</t>
  </si>
  <si>
    <t>Arthritis Package - Advance (Non Fasting)</t>
  </si>
  <si>
    <t>Ascorbic Acid (Vitamin C) Allergy Test</t>
  </si>
  <si>
    <t>Autoimmune Hepatitis Panel</t>
  </si>
  <si>
    <t>Bad Obstetric History (BOH) Profile- Comprehensive</t>
  </si>
  <si>
    <t>Biocheck Advance- Male</t>
  </si>
  <si>
    <t>Blood Urea Nitrogen (BUN) Test</t>
  </si>
  <si>
    <t>Body Builder Hormones Profile</t>
  </si>
  <si>
    <t>Bone Density Test - Advance</t>
  </si>
  <si>
    <t>Bone Density Test - Essential</t>
  </si>
  <si>
    <t>Breast Cancer Test - Essential</t>
  </si>
  <si>
    <t>C Peptide Random Test</t>
  </si>
  <si>
    <t>Calcitonin Test</t>
  </si>
  <si>
    <t>Calcium 24 Hrs Urine Test</t>
  </si>
  <si>
    <t>Calcium Test</t>
  </si>
  <si>
    <t>Cardiac Risk Markers With Full Body Screening</t>
  </si>
  <si>
    <t>CD4 &amp; CD8 By Flowcytometry Test</t>
  </si>
  <si>
    <t>CD19, Flowcytometry Test</t>
  </si>
  <si>
    <t>Chikungunya RNA Detection Qualitative by PCR Test</t>
  </si>
  <si>
    <t>Chlamydia Pneumoniae IgG Antibodies Test</t>
  </si>
  <si>
    <t>Chlamydia Trachomatis IgM Antibodies Test</t>
  </si>
  <si>
    <t>Chromosome Analysis (Karyotype) Couple, Blood</t>
  </si>
  <si>
    <t>Complement Protein Concentration (C4) Test</t>
  </si>
  <si>
    <t>Copper 24 Hrs Urine Test</t>
  </si>
  <si>
    <t>Copper Serum Test</t>
  </si>
  <si>
    <t>Corporate Health Checkup - Female</t>
  </si>
  <si>
    <t>Cow Milk Allergy Test By ImmunoCAP</t>
  </si>
  <si>
    <t>Creatinine Spot Urine Test</t>
  </si>
  <si>
    <t>D dimer with CBC Test</t>
  </si>
  <si>
    <t>D3 Hydroxybutarate (Ketone) Test</t>
  </si>
  <si>
    <t>Day to Day Toxic Elements Profile</t>
  </si>
  <si>
    <t>Dengue Duo Screening Test</t>
  </si>
  <si>
    <t>Dengue IGG Antibody Test, EIA</t>
  </si>
  <si>
    <t>Diabetes Profile- Comprehensive with Free HsCRP (Non Fasting)</t>
  </si>
  <si>
    <t>Diabetes Special Care Package - Advance with Free HsCRP</t>
  </si>
  <si>
    <t>Dihydrotestosterone (DHT) Test</t>
  </si>
  <si>
    <t>Direct Coombs Test (DCT), Whole Blood EDTA Test</t>
  </si>
  <si>
    <t>Disorders Of Purines, Pyrimidines &amp; Nucleotide Metabolism Test</t>
  </si>
  <si>
    <t>DLC (Differential Leucocyte Count) Test</t>
  </si>
  <si>
    <t>Dopamine Test</t>
  </si>
  <si>
    <t>Drug Inhalant Allergy Basic Panel Test</t>
  </si>
  <si>
    <t>Drugs Of Abuse - Urine : 6 Drugs Test</t>
  </si>
  <si>
    <t>Drugs Of Abuse: Opiates Test</t>
  </si>
  <si>
    <t>Epstein Barr Virus (EBV) Viral Capsid Antigen IgM Antibodies (VCA) Test</t>
  </si>
  <si>
    <t>Fatigue Screening Package</t>
  </si>
  <si>
    <t>Fibrinogen Level Test</t>
  </si>
  <si>
    <t>Filaria Antibody, IgG Test</t>
  </si>
  <si>
    <t>Fitness Package Advanced - Female</t>
  </si>
  <si>
    <t>Food Intolerance Test</t>
  </si>
  <si>
    <t>Food Intolerance Test In Collaboration with Cambridge Nutritional Sciences, UK  (Powered by FOODPRINT® Microarray)</t>
  </si>
  <si>
    <t>G6PD, Quantitative (Glucose-6-Phospate Dehydrogenase) Test</t>
  </si>
  <si>
    <t>Gall Bladder Stone Analysis Test</t>
  </si>
  <si>
    <t>Gamma-Glutamyl Transferase Test (GGT)</t>
  </si>
  <si>
    <t>Giardia Lamblia Antigen Detection, Stool Test</t>
  </si>
  <si>
    <t>GLP-1 Weight management package- During Treatment</t>
  </si>
  <si>
    <t>Glucose Random (RBS) Test</t>
  </si>
  <si>
    <t>Glutamate Decarboxylase 65 (GAD 65) Antibody Paraneoplastic Syndrome Test</t>
  </si>
  <si>
    <t>Gut Health Package</t>
  </si>
  <si>
    <t>GYM Fitness Health Checkup - Female</t>
  </si>
  <si>
    <t>GYM Pro Health Checkup - Female</t>
  </si>
  <si>
    <t>HCG Tumor Marker (Cancer) Test</t>
  </si>
  <si>
    <t>HDL Cholesterol Direct Test</t>
  </si>
  <si>
    <t>Heart Day Special Package - Comprehensive</t>
  </si>
  <si>
    <t>Heavy Metals by Blood, 22 Parameters</t>
  </si>
  <si>
    <t>Hepatitis B (HBV) Viral Load Test By RT PCR</t>
  </si>
  <si>
    <t>Hepatitis B Profile Test</t>
  </si>
  <si>
    <t>Hepatitis B Surface Antigen (HBsAg) Rapid Card Test</t>
  </si>
  <si>
    <t>Hepatitis Be Virus Total Antibodies (HBeAb) Test</t>
  </si>
  <si>
    <t>Hepatitis C Virus (HCV) Genotyping Test</t>
  </si>
  <si>
    <t>Hepatitis E Virus IgG Antibodies (HEV IgG) Test</t>
  </si>
  <si>
    <t>Hepatitis E Virus IgM Antibodies (HEV IgM) Test</t>
  </si>
  <si>
    <t>Herpes Simplex Virus (HSV) 1 &amp; 2 IgG Ab (Combined)</t>
  </si>
  <si>
    <t>Herpes Simplex Virus (HSV) IgG Type 2 Antibodies Test</t>
  </si>
  <si>
    <t>Herpes Simplex Virus (HSV) IgM Type 1Antibodies Test</t>
  </si>
  <si>
    <t>HLA - B5 (B51/52) Test</t>
  </si>
  <si>
    <t>Immunity Test - Advanced</t>
  </si>
  <si>
    <t>Immunity Test - Essential</t>
  </si>
  <si>
    <t>Immunofixation Electrophoresis Quantitative, Serum Test</t>
  </si>
  <si>
    <t>Immunoglobulin M (IgM) Test</t>
  </si>
  <si>
    <t>Inhibin B Test</t>
  </si>
  <si>
    <t>Lipoprotein Electrophoresis Test</t>
  </si>
  <si>
    <t>Liver Kidney Microsomal (LKM) Antibody Test</t>
  </si>
  <si>
    <t>Male Hormone Profile- Advanced</t>
  </si>
  <si>
    <t>Master Platinum Full Body Checkup - Female</t>
  </si>
  <si>
    <t>Master Platinum Full Body Checkup - Male</t>
  </si>
  <si>
    <t>Master Platinum Plus Full Body Checkup - Female</t>
  </si>
  <si>
    <t>Master Platinum Pro Full Body Checkup - Male</t>
  </si>
  <si>
    <t>Maternal Marker Alpha Fetoprotein (AFP)</t>
  </si>
  <si>
    <t>Metabolic Panel Essential</t>
  </si>
  <si>
    <t>Methylmalonic Acid Quantitative Test</t>
  </si>
  <si>
    <t>Multiple Myeloma Panel</t>
  </si>
  <si>
    <t>MuSK Antibody Muscle specific KinaseAb Test</t>
  </si>
  <si>
    <t>Nutritionist Choice Plus</t>
  </si>
  <si>
    <t>Nutritionist Mineral Elements Profile</t>
  </si>
  <si>
    <t>One Plus One Annual Health Checkup- Advance with Free HsCRP</t>
  </si>
  <si>
    <t>One Plus One Diabetes Special Care Package - Essential with Free HsCRP</t>
  </si>
  <si>
    <t>One Plus One Heart Day Comprehensive Special Package</t>
  </si>
  <si>
    <t>Osmolality, Serum Test</t>
  </si>
  <si>
    <t>Osteoporosis Panel- Essential</t>
  </si>
  <si>
    <t>Osteoporosis Profile- Advanced</t>
  </si>
  <si>
    <t>Pollen Allergy Basic Panel Test (42 Allergens)</t>
  </si>
  <si>
    <t>Polycystic Kidney Disease Gene Panel</t>
  </si>
  <si>
    <t>Potassium, Spot Urine Test</t>
  </si>
  <si>
    <t>Prolactin, Active Monomeric Prolactin Test</t>
  </si>
  <si>
    <t>Protein S Antigen- Free Test</t>
  </si>
  <si>
    <t>Sedentary Lifestyle Screening Package D</t>
  </si>
  <si>
    <t>Senior Citizen Full Body Checkup - Male (Advance) (Non Fasting)</t>
  </si>
  <si>
    <t>Sepsis Package</t>
  </si>
  <si>
    <t>Serotonin, Serum Test</t>
  </si>
  <si>
    <t>Serum Ascites Albumin Gradient (SAAG) Test</t>
  </si>
  <si>
    <t>Sex Hormone Binding Globulin (SHBG) Test</t>
  </si>
  <si>
    <t>Smart Full Body checkup with D-dimer test</t>
  </si>
  <si>
    <t>SS-A (Ro) &amp; SS-B (La) IgG Antibodies Test</t>
  </si>
  <si>
    <t>Stay Fit Ultra Full Body Checkup - Female (Non Fasting)</t>
  </si>
  <si>
    <t>StayFit Platinum Plus Full Body Checkup Package - Female</t>
  </si>
  <si>
    <t>StayFit Platinum Pro Full Body Checkup Package - Female</t>
  </si>
  <si>
    <t>Stool pH &amp; Reducing Substances Test</t>
  </si>
  <si>
    <t>Stress Impact- Female</t>
  </si>
  <si>
    <t>Super Tax Saver Advance Plus Package - Male</t>
  </si>
  <si>
    <t>Super Tax Saver Health Checkup- Female</t>
  </si>
  <si>
    <t>Supersaver Fit India Full Body Checkup Pack for 2</t>
  </si>
  <si>
    <t>Systemic Lupus Erythematosus (SLE) Panel</t>
  </si>
  <si>
    <t>TB PCR Test</t>
  </si>
  <si>
    <t>Testicular Cancer Monitor Test</t>
  </si>
  <si>
    <t>Thrombophilia Profile</t>
  </si>
  <si>
    <t>Tissue Transglutaminase, DGP TTG-DGP Screen Test</t>
  </si>
  <si>
    <t>Total Protein &amp; Albumin/globulin (ag) Ratio Test</t>
  </si>
  <si>
    <t>Toxoplasma IgM Antibodies Test</t>
  </si>
  <si>
    <t>Transferrin Test</t>
  </si>
  <si>
    <t>Triple Marker Test- Beckman (Benetech)</t>
  </si>
  <si>
    <t>Triple Marker Test- Second Trimester</t>
  </si>
  <si>
    <t>Troponin I, Rapid Card Test</t>
  </si>
  <si>
    <t>TSH Receptor Antibodies Test</t>
  </si>
  <si>
    <t>UGT1A1 Genotyping for Gilbert Syndrome (Qualitative) Test</t>
  </si>
  <si>
    <t>Uric Acid, Spot urine Test</t>
  </si>
  <si>
    <t>Viral Flu Panel</t>
  </si>
  <si>
    <t>Vitamin B Complex Profile</t>
  </si>
  <si>
    <t>Vitamin C (Ascorbic Acid) Test</t>
  </si>
  <si>
    <t>Wayda Advance Health Package</t>
  </si>
  <si>
    <t>Wayda Vital Health Package</t>
  </si>
  <si>
    <t>Wheat (Genhu) Allergy Test By ImmunoCAP</t>
  </si>
  <si>
    <t/>
  </si>
  <si>
    <t>TOTAL PROJECTED WEEKLY GM UPLIFT (Filtered)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</si>
</sst>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6" formatCode="0.00000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1"/>
      <name val="Arial"/>
      <family val="2"/>
    </font>
    <font>
      <b/>
      <sz val="12"/>
      <color rgb="FF1F4E78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164" fontId="6" fillId="4" borderId="0" xfId="0" applyNumberFormat="1" applyFont="1" applyFill="1"/>
    <xf numFmtId="2" fontId="6" fillId="0" borderId="0" xfId="0" applyNumberFormat="1" applyFont="1"/>
    <xf numFmtId="0" fontId="6" fillId="3" borderId="0" xfId="0" applyFont="1" applyFill="1"/>
    <xf numFmtId="0" fontId="6" fillId="5" borderId="0" xfId="0" applyFont="1" applyFill="1"/>
    <xf numFmtId="164" fontId="6" fillId="5" borderId="0" xfId="0" applyNumberFormat="1" applyFont="1" applyFill="1"/>
    <xf numFmtId="0" fontId="7" fillId="0" borderId="0" xfId="0" applyFont="1"/>
    <xf numFmtId="3" fontId="7" fillId="0" borderId="0" xfId="0" applyNumberFormat="1" applyFont="1"/>
    <xf numFmtId="166" fontId="0" fillId="0" borderId="0" xfId="0" applyNumberFormat="1"/>
    <xf numFmtId="168" fontId="6" fillId="0" borderId="0" xfId="0" applyNumberFormat="1" applyFont="1"/>
    <xf numFmtId="1" fontId="6" fillId="0" borderId="0" xfId="0" applyNumberFormat="1" applyFont="1"/>
    <xf numFmtId="168" fontId="0" fillId="0" borderId="0" xfId="0" applyNumberForma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9" fontId="0" fillId="0" borderId="0" xfId="1" applyFont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/>
    <xf numFmtId="9" fontId="0" fillId="0" borderId="0" xfId="1" applyFont="1"/>
    <xf numFmtId="9" fontId="1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topLeftCell="A11" workbookViewId="0">
      <selection activeCell="A19" sqref="A1:XFD1048576"/>
    </sheetView>
  </sheetViews>
  <sheetFormatPr baseColWidth="10" defaultColWidth="8.83203125" defaultRowHeight="15" x14ac:dyDescent="0.2"/>
  <cols>
    <col min="1" max="1" width="112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4" spans="1:1" ht="16" x14ac:dyDescent="0.2">
      <c r="A4" s="3" t="s">
        <v>2</v>
      </c>
    </row>
    <row r="5" spans="1:1" ht="45" x14ac:dyDescent="0.2">
      <c r="A5" s="4" t="s">
        <v>3</v>
      </c>
    </row>
    <row r="6" spans="1:1" ht="60" x14ac:dyDescent="0.2">
      <c r="A6" s="4" t="s">
        <v>4</v>
      </c>
    </row>
    <row r="7" spans="1:1" ht="45" x14ac:dyDescent="0.2">
      <c r="A7" s="4" t="s">
        <v>5</v>
      </c>
    </row>
    <row r="9" spans="1:1" ht="16" x14ac:dyDescent="0.2">
      <c r="A9" s="3" t="s">
        <v>6</v>
      </c>
    </row>
    <row r="10" spans="1:1" ht="60" x14ac:dyDescent="0.2">
      <c r="A10" s="4" t="s">
        <v>7</v>
      </c>
    </row>
    <row r="11" spans="1:1" ht="30" x14ac:dyDescent="0.2">
      <c r="A11" s="4" t="s">
        <v>8</v>
      </c>
    </row>
    <row r="12" spans="1:1" ht="30" x14ac:dyDescent="0.2">
      <c r="A12" s="4" t="s">
        <v>9</v>
      </c>
    </row>
    <row r="13" spans="1:1" ht="45" x14ac:dyDescent="0.2">
      <c r="A13" s="4" t="s">
        <v>10</v>
      </c>
    </row>
    <row r="14" spans="1:1" ht="45" x14ac:dyDescent="0.2">
      <c r="A14" s="4" t="s">
        <v>11</v>
      </c>
    </row>
    <row r="15" spans="1:1" ht="60" x14ac:dyDescent="0.2">
      <c r="A15" s="4" t="s">
        <v>12</v>
      </c>
    </row>
    <row r="16" spans="1:1" ht="60" x14ac:dyDescent="0.2">
      <c r="A16" s="4" t="s">
        <v>13</v>
      </c>
    </row>
    <row r="17" spans="1:1" ht="90" x14ac:dyDescent="0.2">
      <c r="A17" s="4" t="s">
        <v>14</v>
      </c>
    </row>
    <row r="18" spans="1:1" ht="30" x14ac:dyDescent="0.2">
      <c r="A18" s="4" t="s">
        <v>15</v>
      </c>
    </row>
    <row r="19" spans="1:1" ht="30" x14ac:dyDescent="0.2">
      <c r="A19" s="4" t="s">
        <v>16</v>
      </c>
    </row>
    <row r="21" spans="1:1" ht="16" x14ac:dyDescent="0.2">
      <c r="A21" s="3" t="s">
        <v>17</v>
      </c>
    </row>
    <row r="22" spans="1:1" ht="30" x14ac:dyDescent="0.2">
      <c r="A22" s="4" t="s">
        <v>18</v>
      </c>
    </row>
    <row r="23" spans="1:1" ht="45" x14ac:dyDescent="0.2">
      <c r="A23" s="4" t="s">
        <v>19</v>
      </c>
    </row>
    <row r="24" spans="1:1" ht="30" x14ac:dyDescent="0.2">
      <c r="A24" s="4" t="s">
        <v>20</v>
      </c>
    </row>
    <row r="25" spans="1:1" ht="45" x14ac:dyDescent="0.2">
      <c r="A25" s="4" t="s">
        <v>21</v>
      </c>
    </row>
    <row r="26" spans="1:1" ht="30" x14ac:dyDescent="0.2">
      <c r="A26" s="4" t="s">
        <v>22</v>
      </c>
    </row>
    <row r="27" spans="1:1" ht="30" x14ac:dyDescent="0.2">
      <c r="A27" s="4" t="s">
        <v>23</v>
      </c>
    </row>
    <row r="29" spans="1:1" ht="16" x14ac:dyDescent="0.2">
      <c r="A29" s="3" t="s">
        <v>24</v>
      </c>
    </row>
    <row r="30" spans="1:1" ht="30" x14ac:dyDescent="0.2">
      <c r="A30" s="4" t="s">
        <v>25</v>
      </c>
    </row>
    <row r="31" spans="1:1" ht="30" x14ac:dyDescent="0.2">
      <c r="A31" s="4" t="s">
        <v>26</v>
      </c>
    </row>
    <row r="32" spans="1:1" x14ac:dyDescent="0.2">
      <c r="A32" s="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zoomScale="87" workbookViewId="0">
      <pane ySplit="1" topLeftCell="A3" activePane="bottomLeft" state="frozen"/>
      <selection pane="bottomLeft" activeCell="F8" sqref="F8"/>
    </sheetView>
  </sheetViews>
  <sheetFormatPr baseColWidth="10" defaultColWidth="8.83203125" defaultRowHeight="15" x14ac:dyDescent="0.2"/>
  <cols>
    <col min="1" max="1" width="17" customWidth="1"/>
    <col min="2" max="2" width="42" customWidth="1"/>
    <col min="3" max="13" width="17" customWidth="1"/>
    <col min="14" max="14" width="19.1640625" style="15" customWidth="1"/>
    <col min="15" max="15" width="22" customWidth="1"/>
    <col min="16" max="19" width="17" customWidth="1"/>
  </cols>
  <sheetData>
    <row r="1" spans="1:19" ht="28" x14ac:dyDescent="0.2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</row>
    <row r="2" spans="1:19" x14ac:dyDescent="0.2">
      <c r="A2" s="6" t="s">
        <v>47</v>
      </c>
      <c r="B2" s="6" t="s">
        <v>48</v>
      </c>
      <c r="C2" s="6" t="s">
        <v>49</v>
      </c>
      <c r="D2" s="7">
        <v>997</v>
      </c>
      <c r="E2" s="7">
        <v>2574.8267898383369</v>
      </c>
      <c r="F2" s="7">
        <v>850</v>
      </c>
      <c r="G2" s="8">
        <v>-0.14744232698094281</v>
      </c>
      <c r="H2" s="9">
        <v>-2.6197664336783242</v>
      </c>
      <c r="I2" s="9">
        <v>-1.4858864167893651</v>
      </c>
      <c r="J2" s="10" t="s">
        <v>50</v>
      </c>
      <c r="K2" s="6" t="s">
        <v>51</v>
      </c>
      <c r="L2" s="6"/>
      <c r="M2" s="7">
        <v>3569.3908671637791</v>
      </c>
      <c r="N2" s="17">
        <v>326.02004572175048</v>
      </c>
      <c r="O2" s="7" t="s">
        <v>52</v>
      </c>
      <c r="P2" s="7">
        <v>1727657.161720139</v>
      </c>
      <c r="Q2" s="7">
        <v>1870289.2633776781</v>
      </c>
      <c r="R2" s="6">
        <v>142632.10165753891</v>
      </c>
      <c r="S2" s="6" t="s">
        <v>53</v>
      </c>
    </row>
    <row r="3" spans="1:19" x14ac:dyDescent="0.2">
      <c r="A3" s="6" t="s">
        <v>54</v>
      </c>
      <c r="B3" s="6" t="s">
        <v>55</v>
      </c>
      <c r="C3" s="6" t="s">
        <v>56</v>
      </c>
      <c r="D3" s="7">
        <v>409.03150846790072</v>
      </c>
      <c r="E3" s="7">
        <v>586.37413394919167</v>
      </c>
      <c r="F3" s="7">
        <v>350</v>
      </c>
      <c r="G3" s="8">
        <v>-0.14432019843413429</v>
      </c>
      <c r="H3" s="9">
        <v>-8.1042285027873433</v>
      </c>
      <c r="I3" s="9">
        <v>-1.3405089186681951</v>
      </c>
      <c r="J3" s="11" t="s">
        <v>57</v>
      </c>
      <c r="K3" s="6" t="s">
        <v>58</v>
      </c>
      <c r="L3" s="6">
        <v>2</v>
      </c>
      <c r="M3" s="7">
        <v>1272.1995877496599</v>
      </c>
      <c r="N3" s="17">
        <v>103.9</v>
      </c>
      <c r="O3" s="7" t="s">
        <v>52</v>
      </c>
      <c r="P3" s="7">
        <v>178921.22401847571</v>
      </c>
      <c r="Q3" s="7">
        <v>313088.31854519132</v>
      </c>
      <c r="R3" s="17">
        <v>134167.09452671549</v>
      </c>
      <c r="S3" s="6" t="s">
        <v>53</v>
      </c>
    </row>
    <row r="4" spans="1:19" x14ac:dyDescent="0.2">
      <c r="A4" s="6" t="s">
        <v>59</v>
      </c>
      <c r="B4" s="6" t="s">
        <v>60</v>
      </c>
      <c r="C4" s="6" t="s">
        <v>49</v>
      </c>
      <c r="D4" s="7">
        <v>1249</v>
      </c>
      <c r="E4" s="7">
        <v>501.61662817551962</v>
      </c>
      <c r="F4" s="7">
        <v>1060</v>
      </c>
      <c r="G4" s="8">
        <v>-0.15132105684547639</v>
      </c>
      <c r="H4" s="9">
        <v>-3.643622761666514</v>
      </c>
      <c r="I4" s="9">
        <v>-1.3510576906213909</v>
      </c>
      <c r="J4" s="10" t="s">
        <v>50</v>
      </c>
      <c r="K4" s="6" t="s">
        <v>51</v>
      </c>
      <c r="L4" s="6"/>
      <c r="M4" s="7">
        <v>778.18639071001792</v>
      </c>
      <c r="N4" s="17">
        <v>324.53910638297867</v>
      </c>
      <c r="O4" s="7" t="s">
        <v>52</v>
      </c>
      <c r="P4" s="7">
        <v>463724.95633629803</v>
      </c>
      <c r="Q4" s="7">
        <v>572325.65831219428</v>
      </c>
      <c r="R4" s="6">
        <v>108600.7019758963</v>
      </c>
      <c r="S4" s="6" t="s">
        <v>53</v>
      </c>
    </row>
    <row r="5" spans="1:19" x14ac:dyDescent="0.2">
      <c r="A5" s="6" t="s">
        <v>61</v>
      </c>
      <c r="B5" s="6" t="s">
        <v>62</v>
      </c>
      <c r="C5" s="6" t="s">
        <v>56</v>
      </c>
      <c r="D5" s="7">
        <v>537.22202166064983</v>
      </c>
      <c r="E5" s="7">
        <v>255.8891454965358</v>
      </c>
      <c r="F5" s="7">
        <v>460</v>
      </c>
      <c r="G5" s="8">
        <v>-0.14374321704449619</v>
      </c>
      <c r="H5" s="9">
        <v>-8.6836868834388508</v>
      </c>
      <c r="I5" s="9">
        <v>-1.190190205659299</v>
      </c>
      <c r="J5" s="6" t="s">
        <v>63</v>
      </c>
      <c r="K5" s="6" t="s">
        <v>58</v>
      </c>
      <c r="L5" s="6">
        <v>1</v>
      </c>
      <c r="M5" s="7">
        <v>575.29537320630857</v>
      </c>
      <c r="N5" s="17">
        <v>85.847090909090909</v>
      </c>
      <c r="O5" s="7" t="s">
        <v>52</v>
      </c>
      <c r="P5" s="7">
        <v>115501.94532857439</v>
      </c>
      <c r="Q5" s="7">
        <v>215248.43747168061</v>
      </c>
      <c r="R5" s="6">
        <v>99746.492143106152</v>
      </c>
      <c r="S5" s="6" t="s">
        <v>64</v>
      </c>
    </row>
    <row r="6" spans="1:19" x14ac:dyDescent="0.2">
      <c r="A6" s="6" t="s">
        <v>65</v>
      </c>
      <c r="B6" s="6" t="s">
        <v>66</v>
      </c>
      <c r="C6" s="6" t="s">
        <v>49</v>
      </c>
      <c r="D6" s="7">
        <v>1499</v>
      </c>
      <c r="E6" s="7">
        <v>345.72748267898379</v>
      </c>
      <c r="F6" s="7">
        <v>1270</v>
      </c>
      <c r="G6" s="8">
        <v>-0.15276851234156111</v>
      </c>
      <c r="H6" s="9">
        <v>-3.643622761666514</v>
      </c>
      <c r="I6" s="9">
        <v>-1.4624017424875171</v>
      </c>
      <c r="J6" s="10" t="s">
        <v>50</v>
      </c>
      <c r="K6" s="6" t="s">
        <v>51</v>
      </c>
      <c r="L6" s="6"/>
      <c r="M6" s="7">
        <v>538.1700579131558</v>
      </c>
      <c r="N6" s="17">
        <v>473.97386904761902</v>
      </c>
      <c r="O6" s="7" t="s">
        <v>52</v>
      </c>
      <c r="P6" s="7">
        <v>354379.7039343451</v>
      </c>
      <c r="Q6" s="7">
        <v>428397.4289950282</v>
      </c>
      <c r="R6" s="6">
        <v>74017.725060683093</v>
      </c>
      <c r="S6" s="6" t="s">
        <v>64</v>
      </c>
    </row>
    <row r="7" spans="1:19" x14ac:dyDescent="0.2">
      <c r="A7" s="6" t="s">
        <v>67</v>
      </c>
      <c r="B7" s="6" t="s">
        <v>68</v>
      </c>
      <c r="C7" s="6" t="s">
        <v>56</v>
      </c>
      <c r="D7" s="7">
        <v>363.08371040723978</v>
      </c>
      <c r="E7" s="7">
        <v>204.1570438799076</v>
      </c>
      <c r="F7" s="7">
        <v>310</v>
      </c>
      <c r="G7" s="8">
        <v>-0.14620240150047051</v>
      </c>
      <c r="H7" s="9">
        <v>-10</v>
      </c>
      <c r="I7" s="9">
        <v>-1.095847427649479</v>
      </c>
      <c r="J7" s="6" t="s">
        <v>63</v>
      </c>
      <c r="K7" s="6" t="s">
        <v>58</v>
      </c>
      <c r="L7" s="6">
        <v>1</v>
      </c>
      <c r="M7" s="7">
        <v>502.63954486470169</v>
      </c>
      <c r="N7" s="17">
        <v>31.75682926829268</v>
      </c>
      <c r="O7" s="7" t="s">
        <v>52</v>
      </c>
      <c r="P7" s="7">
        <v>67642.716611276963</v>
      </c>
      <c r="Q7" s="7">
        <v>139856.0206982969</v>
      </c>
      <c r="R7" s="6">
        <v>72213.304087019904</v>
      </c>
      <c r="S7" s="6" t="s">
        <v>53</v>
      </c>
    </row>
    <row r="8" spans="1:19" x14ac:dyDescent="0.2">
      <c r="A8" s="6" t="s">
        <v>69</v>
      </c>
      <c r="B8" s="6" t="s">
        <v>70</v>
      </c>
      <c r="C8" s="6" t="s">
        <v>56</v>
      </c>
      <c r="D8" s="7">
        <v>303.10192214504929</v>
      </c>
      <c r="E8" s="7">
        <v>1429.792147806005</v>
      </c>
      <c r="F8" s="7">
        <v>260</v>
      </c>
      <c r="G8" s="8">
        <v>-0.1422027344466093</v>
      </c>
      <c r="H8" s="9">
        <v>-2.8740065288678922</v>
      </c>
      <c r="I8" s="9">
        <v>-1.133506949494552</v>
      </c>
      <c r="J8" s="6" t="s">
        <v>63</v>
      </c>
      <c r="K8" s="6" t="s">
        <v>58</v>
      </c>
      <c r="L8" s="6">
        <v>1</v>
      </c>
      <c r="M8" s="7">
        <v>2014.136170090997</v>
      </c>
      <c r="N8" s="17">
        <v>35.700013157894738</v>
      </c>
      <c r="O8" s="7" t="s">
        <v>52</v>
      </c>
      <c r="P8" s="7">
        <v>382329.14977816952</v>
      </c>
      <c r="Q8" s="7">
        <v>451770.71644961881</v>
      </c>
      <c r="R8" s="6">
        <v>69441.566671449342</v>
      </c>
      <c r="S8" s="6" t="s">
        <v>53</v>
      </c>
    </row>
    <row r="9" spans="1:19" x14ac:dyDescent="0.2">
      <c r="A9" s="6" t="s">
        <v>71</v>
      </c>
      <c r="B9" s="6" t="s">
        <v>72</v>
      </c>
      <c r="C9" s="6" t="s">
        <v>49</v>
      </c>
      <c r="D9" s="7">
        <v>799</v>
      </c>
      <c r="E9" s="7">
        <v>757.5057736720554</v>
      </c>
      <c r="F9" s="7">
        <v>680</v>
      </c>
      <c r="G9" s="8">
        <v>-0.14893617021276601</v>
      </c>
      <c r="H9" s="9">
        <v>-2.6197664336783242</v>
      </c>
      <c r="I9" s="9">
        <v>-1.302602153431176</v>
      </c>
      <c r="J9" s="10" t="s">
        <v>50</v>
      </c>
      <c r="K9" s="6" t="s">
        <v>51</v>
      </c>
      <c r="L9" s="6"/>
      <c r="M9" s="7">
        <v>1053.067845890886</v>
      </c>
      <c r="N9" s="17">
        <v>185.61240663900409</v>
      </c>
      <c r="O9" s="7" t="s">
        <v>52</v>
      </c>
      <c r="P9" s="7">
        <v>464644.6434697613</v>
      </c>
      <c r="Q9" s="7">
        <v>520623.67797584349</v>
      </c>
      <c r="R9" s="6">
        <v>55979.034506082193</v>
      </c>
      <c r="S9" s="6" t="s">
        <v>53</v>
      </c>
    </row>
    <row r="10" spans="1:19" x14ac:dyDescent="0.2">
      <c r="A10" s="6" t="s">
        <v>73</v>
      </c>
      <c r="B10" s="6" t="s">
        <v>74</v>
      </c>
      <c r="C10" s="6" t="s">
        <v>49</v>
      </c>
      <c r="D10" s="7">
        <v>1199</v>
      </c>
      <c r="E10" s="7">
        <v>261.20092378752878</v>
      </c>
      <c r="F10" s="7">
        <v>1020</v>
      </c>
      <c r="G10" s="8">
        <v>-0.1492910758965805</v>
      </c>
      <c r="H10" s="9">
        <v>-3.643622761666514</v>
      </c>
      <c r="I10" s="9">
        <v>-1.348857713459342</v>
      </c>
      <c r="J10" s="10" t="s">
        <v>50</v>
      </c>
      <c r="K10" s="6" t="s">
        <v>51</v>
      </c>
      <c r="L10" s="6"/>
      <c r="M10" s="7">
        <v>403.28387291114882</v>
      </c>
      <c r="N10" s="17">
        <v>310.0997193877551</v>
      </c>
      <c r="O10" s="7" t="s">
        <v>52</v>
      </c>
      <c r="P10" s="7">
        <v>232181.57445091201</v>
      </c>
      <c r="Q10" s="7">
        <v>286291.3345460174</v>
      </c>
      <c r="R10" s="6">
        <v>54109.760095105448</v>
      </c>
      <c r="S10" s="6" t="s">
        <v>75</v>
      </c>
    </row>
    <row r="11" spans="1:19" x14ac:dyDescent="0.2">
      <c r="A11" s="6" t="s">
        <v>76</v>
      </c>
      <c r="B11" s="6" t="s">
        <v>77</v>
      </c>
      <c r="C11" s="6" t="s">
        <v>56</v>
      </c>
      <c r="D11" s="7">
        <v>714.78550207961973</v>
      </c>
      <c r="E11" s="7">
        <v>388.68360277136259</v>
      </c>
      <c r="F11" s="7">
        <v>610</v>
      </c>
      <c r="G11" s="8">
        <v>-0.14659712847386169</v>
      </c>
      <c r="H11" s="9">
        <v>-3.6115594410919201</v>
      </c>
      <c r="I11" s="9">
        <v>-1.4327037985230531</v>
      </c>
      <c r="J11" s="6" t="s">
        <v>63</v>
      </c>
      <c r="K11" s="6" t="s">
        <v>58</v>
      </c>
      <c r="L11" s="6">
        <v>2</v>
      </c>
      <c r="M11" s="7">
        <v>594.46989875359213</v>
      </c>
      <c r="N11" s="17">
        <v>215.87881751824821</v>
      </c>
      <c r="O11" s="7" t="s">
        <v>52</v>
      </c>
      <c r="P11" s="7">
        <v>193916.84760202959</v>
      </c>
      <c r="Q11" s="7">
        <v>234293.17944657299</v>
      </c>
      <c r="R11" s="6">
        <v>40376.331844543398</v>
      </c>
      <c r="S11" s="6" t="s">
        <v>64</v>
      </c>
    </row>
    <row r="12" spans="1:19" x14ac:dyDescent="0.2">
      <c r="A12" s="6" t="s">
        <v>78</v>
      </c>
      <c r="B12" s="6" t="s">
        <v>79</v>
      </c>
      <c r="C12" s="6" t="s">
        <v>49</v>
      </c>
      <c r="D12" s="7">
        <v>899</v>
      </c>
      <c r="E12" s="7">
        <v>415.70438799076209</v>
      </c>
      <c r="F12" s="7">
        <v>760</v>
      </c>
      <c r="G12" s="8">
        <v>-0.1546162402669633</v>
      </c>
      <c r="H12" s="9">
        <v>-2.6197664336783242</v>
      </c>
      <c r="I12" s="9">
        <v>-1.2573872302461879</v>
      </c>
      <c r="J12" s="10" t="s">
        <v>50</v>
      </c>
      <c r="K12" s="6" t="s">
        <v>51</v>
      </c>
      <c r="L12" s="6"/>
      <c r="M12" s="7">
        <v>584.08895737535329</v>
      </c>
      <c r="N12" s="17">
        <v>184.0253459119497</v>
      </c>
      <c r="O12" s="7" t="s">
        <v>52</v>
      </c>
      <c r="P12" s="7">
        <v>297218.10100657982</v>
      </c>
      <c r="Q12" s="7">
        <v>336420.43518091913</v>
      </c>
      <c r="R12" s="6">
        <v>39202.334174339252</v>
      </c>
      <c r="S12" s="6" t="s">
        <v>64</v>
      </c>
    </row>
    <row r="13" spans="1:19" x14ac:dyDescent="0.2">
      <c r="A13" s="6" t="s">
        <v>80</v>
      </c>
      <c r="B13" s="6" t="s">
        <v>81</v>
      </c>
      <c r="C13" s="6" t="s">
        <v>56</v>
      </c>
      <c r="D13" s="7">
        <v>422.99564549180332</v>
      </c>
      <c r="E13" s="7">
        <v>901.61662817551962</v>
      </c>
      <c r="F13" s="7">
        <v>470</v>
      </c>
      <c r="G13" s="12">
        <v>0.11112254939065939</v>
      </c>
      <c r="H13" s="9">
        <v>-0.1663277053804128</v>
      </c>
      <c r="I13" s="9">
        <v>-1.186278264768557</v>
      </c>
      <c r="J13" s="6" t="s">
        <v>63</v>
      </c>
      <c r="K13" s="6" t="s">
        <v>58</v>
      </c>
      <c r="L13" s="6">
        <v>1</v>
      </c>
      <c r="M13" s="7">
        <v>884.95226563656172</v>
      </c>
      <c r="N13" s="17">
        <v>66.421932515337417</v>
      </c>
      <c r="O13" s="7" t="s">
        <v>52</v>
      </c>
      <c r="P13" s="7">
        <v>321492.78878986672</v>
      </c>
      <c r="Q13" s="7">
        <v>357147.32518177741</v>
      </c>
      <c r="R13" s="6">
        <v>35654.536391910689</v>
      </c>
      <c r="S13" s="6" t="s">
        <v>53</v>
      </c>
    </row>
    <row r="14" spans="1:19" x14ac:dyDescent="0.2">
      <c r="A14" s="6" t="s">
        <v>82</v>
      </c>
      <c r="B14" s="6" t="s">
        <v>83</v>
      </c>
      <c r="C14" s="6" t="s">
        <v>56</v>
      </c>
      <c r="D14" s="7">
        <v>604.69083969465646</v>
      </c>
      <c r="E14" s="7">
        <v>484.06466512702082</v>
      </c>
      <c r="F14" s="7">
        <v>510</v>
      </c>
      <c r="G14" s="8">
        <v>-0.15659380542703669</v>
      </c>
      <c r="H14" s="9">
        <v>-2.3697537837821541</v>
      </c>
      <c r="I14" s="9">
        <v>-1.120977557148654</v>
      </c>
      <c r="J14" s="10" t="s">
        <v>50</v>
      </c>
      <c r="K14" s="6" t="s">
        <v>51</v>
      </c>
      <c r="L14" s="6"/>
      <c r="M14" s="7">
        <v>663.69562288595364</v>
      </c>
      <c r="N14" s="17">
        <v>65.259130434782605</v>
      </c>
      <c r="O14" s="7" t="s">
        <v>52</v>
      </c>
      <c r="P14" s="7">
        <v>261119.82970177729</v>
      </c>
      <c r="Q14" s="7">
        <v>295172.5684489276</v>
      </c>
      <c r="R14" s="6">
        <v>34052.738747150353</v>
      </c>
      <c r="S14" s="6" t="s">
        <v>53</v>
      </c>
    </row>
    <row r="15" spans="1:19" x14ac:dyDescent="0.2">
      <c r="A15" s="6" t="s">
        <v>84</v>
      </c>
      <c r="B15" s="6" t="s">
        <v>85</v>
      </c>
      <c r="C15" s="6" t="s">
        <v>49</v>
      </c>
      <c r="D15" s="7">
        <v>1149</v>
      </c>
      <c r="E15" s="7">
        <v>92.840646651270205</v>
      </c>
      <c r="F15" s="7">
        <v>980</v>
      </c>
      <c r="G15" s="8">
        <v>-0.1470844212358573</v>
      </c>
      <c r="H15" s="9">
        <v>-3.643622761666514</v>
      </c>
      <c r="I15" s="9">
        <v>-1.088090903219133</v>
      </c>
      <c r="J15" s="10" t="s">
        <v>50</v>
      </c>
      <c r="K15" s="6" t="s">
        <v>51</v>
      </c>
      <c r="L15" s="6"/>
      <c r="M15" s="7">
        <v>142.59581947593739</v>
      </c>
      <c r="N15" s="17">
        <v>93.022051282051279</v>
      </c>
      <c r="O15" s="7" t="s">
        <v>52</v>
      </c>
      <c r="P15" s="7">
        <v>98037.675608456208</v>
      </c>
      <c r="Q15" s="7">
        <v>126479.34745452191</v>
      </c>
      <c r="R15" s="6">
        <v>28441.67184606571</v>
      </c>
      <c r="S15" s="6" t="s">
        <v>75</v>
      </c>
    </row>
    <row r="16" spans="1:19" x14ac:dyDescent="0.2">
      <c r="A16" s="6" t="s">
        <v>86</v>
      </c>
      <c r="B16" s="6" t="s">
        <v>87</v>
      </c>
      <c r="C16" s="6" t="s">
        <v>49</v>
      </c>
      <c r="D16" s="7">
        <v>699</v>
      </c>
      <c r="E16" s="7">
        <v>346.42032332563508</v>
      </c>
      <c r="F16" s="7">
        <v>590</v>
      </c>
      <c r="G16" s="8">
        <v>-0.15593705293276111</v>
      </c>
      <c r="H16" s="9">
        <v>-2.6197664336783242</v>
      </c>
      <c r="I16" s="9">
        <v>-1.2516740468878169</v>
      </c>
      <c r="J16" s="10" t="s">
        <v>50</v>
      </c>
      <c r="K16" s="6" t="s">
        <v>51</v>
      </c>
      <c r="L16" s="6"/>
      <c r="M16" s="7">
        <v>487.9394885819749</v>
      </c>
      <c r="N16" s="17">
        <v>140.5479</v>
      </c>
      <c r="O16" s="7" t="s">
        <v>52</v>
      </c>
      <c r="P16" s="7">
        <v>193459.15704387991</v>
      </c>
      <c r="Q16" s="7">
        <v>219305.4278160946</v>
      </c>
      <c r="R16" s="6">
        <v>25846.27077221475</v>
      </c>
      <c r="S16" s="6" t="s">
        <v>53</v>
      </c>
    </row>
    <row r="17" spans="1:19" x14ac:dyDescent="0.2">
      <c r="A17" s="6" t="s">
        <v>88</v>
      </c>
      <c r="B17" s="6" t="s">
        <v>89</v>
      </c>
      <c r="C17" s="6" t="s">
        <v>56</v>
      </c>
      <c r="D17" s="7">
        <v>357.04063957361763</v>
      </c>
      <c r="E17" s="7">
        <v>1039.953810623557</v>
      </c>
      <c r="F17" s="7">
        <v>390</v>
      </c>
      <c r="G17" s="12">
        <v>9.2312629917263522E-2</v>
      </c>
      <c r="H17" s="9">
        <v>-0.47331160471352868</v>
      </c>
      <c r="I17" s="9">
        <v>-1.3726045489549481</v>
      </c>
      <c r="J17" s="11" t="s">
        <v>57</v>
      </c>
      <c r="K17" s="6" t="s">
        <v>58</v>
      </c>
      <c r="L17" s="6">
        <v>4</v>
      </c>
      <c r="M17" s="7">
        <v>994.51548419778248</v>
      </c>
      <c r="N17" s="17">
        <v>96.921554404145084</v>
      </c>
      <c r="O17" s="7" t="s">
        <v>52</v>
      </c>
      <c r="P17" s="7">
        <v>270511.83383790642</v>
      </c>
      <c r="Q17" s="7">
        <v>291471.05222969508</v>
      </c>
      <c r="R17" s="17">
        <v>20959.218391788771</v>
      </c>
      <c r="S17" s="6" t="s">
        <v>53</v>
      </c>
    </row>
    <row r="18" spans="1:19" x14ac:dyDescent="0.2">
      <c r="A18" s="6" t="s">
        <v>90</v>
      </c>
      <c r="B18" s="6" t="s">
        <v>91</v>
      </c>
      <c r="C18" s="6" t="s">
        <v>49</v>
      </c>
      <c r="D18" s="7">
        <v>3199</v>
      </c>
      <c r="E18" s="7">
        <v>267.43648960739029</v>
      </c>
      <c r="F18" s="7">
        <v>3360</v>
      </c>
      <c r="G18" s="12">
        <v>5.0328227571115977E-2</v>
      </c>
      <c r="H18" s="9">
        <v>-1.504740857521367</v>
      </c>
      <c r="I18" s="9">
        <v>-3.054455447251458</v>
      </c>
      <c r="J18" s="10" t="s">
        <v>50</v>
      </c>
      <c r="K18" s="6" t="s">
        <v>51</v>
      </c>
      <c r="L18" s="6"/>
      <c r="M18" s="7">
        <v>247.18327277544381</v>
      </c>
      <c r="N18" s="17">
        <v>2151.6774722222221</v>
      </c>
      <c r="O18" s="7" t="s">
        <v>52</v>
      </c>
      <c r="P18" s="7">
        <v>280092.26031562738</v>
      </c>
      <c r="Q18" s="7">
        <v>298677.11698440817</v>
      </c>
      <c r="R18" s="6">
        <v>18584.856668780791</v>
      </c>
      <c r="S18" s="6" t="s">
        <v>53</v>
      </c>
    </row>
    <row r="19" spans="1:19" x14ac:dyDescent="0.2">
      <c r="A19" s="6" t="s">
        <v>92</v>
      </c>
      <c r="B19" s="6" t="s">
        <v>93</v>
      </c>
      <c r="C19" s="6" t="s">
        <v>56</v>
      </c>
      <c r="D19" s="7">
        <v>630.74826388888891</v>
      </c>
      <c r="E19" s="7">
        <v>133.02540415704391</v>
      </c>
      <c r="F19" s="7">
        <v>540</v>
      </c>
      <c r="G19" s="8">
        <v>-0.14387398124471881</v>
      </c>
      <c r="H19" s="9">
        <v>-3.243527372700366</v>
      </c>
      <c r="I19" s="9">
        <v>-1.166130323251787</v>
      </c>
      <c r="J19" s="6" t="s">
        <v>63</v>
      </c>
      <c r="K19" s="6" t="s">
        <v>58</v>
      </c>
      <c r="L19" s="6">
        <v>1</v>
      </c>
      <c r="M19" s="7">
        <v>195.10293235997591</v>
      </c>
      <c r="N19" s="17">
        <v>89.858235294117648</v>
      </c>
      <c r="O19" s="7" t="s">
        <v>52</v>
      </c>
      <c r="P19" s="7">
        <v>71952.114658334467</v>
      </c>
      <c r="Q19" s="7">
        <v>87823.978271811939</v>
      </c>
      <c r="R19" s="6">
        <v>15871.86361347747</v>
      </c>
      <c r="S19" s="6" t="s">
        <v>53</v>
      </c>
    </row>
    <row r="20" spans="1:19" x14ac:dyDescent="0.2">
      <c r="A20" s="6" t="s">
        <v>94</v>
      </c>
      <c r="B20" s="6" t="s">
        <v>95</v>
      </c>
      <c r="C20" s="6" t="s">
        <v>49</v>
      </c>
      <c r="D20" s="7">
        <v>1299</v>
      </c>
      <c r="E20" s="7">
        <v>57.274826789838343</v>
      </c>
      <c r="F20" s="7">
        <v>1100</v>
      </c>
      <c r="G20" s="8">
        <v>-0.1531947652040031</v>
      </c>
      <c r="H20" s="9">
        <v>-3.643622761666514</v>
      </c>
      <c r="I20" s="9">
        <v>-1.236900342727834</v>
      </c>
      <c r="J20" s="10" t="s">
        <v>50</v>
      </c>
      <c r="K20" s="6" t="s">
        <v>51</v>
      </c>
      <c r="L20" s="6"/>
      <c r="M20" s="7">
        <v>89.24471489594336</v>
      </c>
      <c r="N20" s="17">
        <v>248.7941304347826</v>
      </c>
      <c r="O20" s="7" t="s">
        <v>52</v>
      </c>
      <c r="P20" s="7">
        <v>60150.359273019378</v>
      </c>
      <c r="Q20" s="7">
        <v>75965.625147101382</v>
      </c>
      <c r="R20" s="6">
        <v>15815.265874082001</v>
      </c>
      <c r="S20" s="6" t="s">
        <v>75</v>
      </c>
    </row>
    <row r="21" spans="1:19" x14ac:dyDescent="0.2">
      <c r="A21" s="6" t="s">
        <v>96</v>
      </c>
      <c r="B21" s="6" t="s">
        <v>97</v>
      </c>
      <c r="C21" s="6" t="s">
        <v>49</v>
      </c>
      <c r="D21" s="7">
        <v>1299</v>
      </c>
      <c r="E21" s="7">
        <v>71.131639722863738</v>
      </c>
      <c r="F21" s="7">
        <v>1100</v>
      </c>
      <c r="G21" s="8">
        <v>-0.1531947652040031</v>
      </c>
      <c r="H21" s="9">
        <v>-3.643622761666514</v>
      </c>
      <c r="I21" s="9">
        <v>-1.4060887022957591</v>
      </c>
      <c r="J21" s="10" t="s">
        <v>50</v>
      </c>
      <c r="K21" s="6" t="s">
        <v>51</v>
      </c>
      <c r="L21" s="6"/>
      <c r="M21" s="7">
        <v>110.83617817722001</v>
      </c>
      <c r="N21" s="17">
        <v>375.16070175438603</v>
      </c>
      <c r="O21" s="7" t="s">
        <v>52</v>
      </c>
      <c r="P21" s="7">
        <v>65714.204124630283</v>
      </c>
      <c r="Q21" s="7">
        <v>80338.41761020197</v>
      </c>
      <c r="R21" s="6">
        <v>14624.21348557169</v>
      </c>
      <c r="S21" s="6" t="s">
        <v>75</v>
      </c>
    </row>
    <row r="22" spans="1:19" x14ac:dyDescent="0.2">
      <c r="A22" s="6" t="s">
        <v>98</v>
      </c>
      <c r="B22" s="6" t="s">
        <v>99</v>
      </c>
      <c r="C22" s="6" t="s">
        <v>56</v>
      </c>
      <c r="D22" s="7">
        <v>77.286473607038118</v>
      </c>
      <c r="E22" s="7">
        <v>1260.046189376443</v>
      </c>
      <c r="F22" s="7">
        <v>90</v>
      </c>
      <c r="G22" s="12">
        <v>0.16449872532163401</v>
      </c>
      <c r="H22" s="9">
        <v>-0.26127499161594198</v>
      </c>
      <c r="I22" s="9">
        <v>-1.1448822890590189</v>
      </c>
      <c r="J22" s="11" t="s">
        <v>57</v>
      </c>
      <c r="K22" s="6" t="s">
        <v>58</v>
      </c>
      <c r="L22" s="6">
        <v>4</v>
      </c>
      <c r="M22" s="7">
        <v>1205.8901563047691</v>
      </c>
      <c r="N22" s="17">
        <v>9.7804301075268807</v>
      </c>
      <c r="O22" s="7" t="s">
        <v>52</v>
      </c>
      <c r="P22" s="7">
        <v>85060.732871439555</v>
      </c>
      <c r="Q22" s="7">
        <v>96735.989676335739</v>
      </c>
      <c r="R22" s="17">
        <v>11675.25680489618</v>
      </c>
      <c r="S22" s="6" t="s">
        <v>64</v>
      </c>
    </row>
    <row r="23" spans="1:19" x14ac:dyDescent="0.2">
      <c r="A23" s="6" t="s">
        <v>100</v>
      </c>
      <c r="B23" s="6" t="s">
        <v>101</v>
      </c>
      <c r="C23" s="6" t="s">
        <v>49</v>
      </c>
      <c r="D23" s="7">
        <v>961.41134751773052</v>
      </c>
      <c r="E23" s="7">
        <v>65.127020785219401</v>
      </c>
      <c r="F23" s="7">
        <v>820</v>
      </c>
      <c r="G23" s="8">
        <v>-0.14708724614374549</v>
      </c>
      <c r="H23" s="9">
        <v>-3.3778008215263711</v>
      </c>
      <c r="I23" s="9">
        <v>-1.3012028023740629</v>
      </c>
      <c r="J23" s="6" t="s">
        <v>63</v>
      </c>
      <c r="K23" s="6" t="s">
        <v>58</v>
      </c>
      <c r="L23" s="6">
        <v>1</v>
      </c>
      <c r="M23" s="7">
        <v>97.484171058344444</v>
      </c>
      <c r="N23" s="17">
        <v>222.54777777777781</v>
      </c>
      <c r="O23" s="7" t="s">
        <v>52</v>
      </c>
      <c r="P23" s="7">
        <v>48119.983063895314</v>
      </c>
      <c r="Q23" s="7">
        <v>58242.134630299122</v>
      </c>
      <c r="R23" s="6">
        <v>10122.15156640382</v>
      </c>
      <c r="S23" s="6" t="s">
        <v>75</v>
      </c>
    </row>
    <row r="24" spans="1:19" x14ac:dyDescent="0.2">
      <c r="A24" s="6" t="s">
        <v>102</v>
      </c>
      <c r="B24" s="6" t="s">
        <v>103</v>
      </c>
      <c r="C24" s="6" t="s">
        <v>56</v>
      </c>
      <c r="D24" s="7">
        <v>200.69774011299441</v>
      </c>
      <c r="E24" s="7">
        <v>81.755196304849889</v>
      </c>
      <c r="F24" s="7">
        <v>170</v>
      </c>
      <c r="G24" s="8">
        <v>-0.15295508606978481</v>
      </c>
      <c r="H24" s="9">
        <v>-4.6663187043346932</v>
      </c>
      <c r="I24" s="9">
        <v>-1.026418763186534</v>
      </c>
      <c r="J24" s="11" t="s">
        <v>57</v>
      </c>
      <c r="K24" s="6" t="s">
        <v>58</v>
      </c>
      <c r="L24" s="6">
        <v>3</v>
      </c>
      <c r="M24" s="7">
        <v>140.1069194881982</v>
      </c>
      <c r="N24" s="17">
        <v>5.1657142857142846</v>
      </c>
      <c r="O24" s="7" t="s">
        <v>52</v>
      </c>
      <c r="P24" s="7">
        <v>15985.75915539426</v>
      </c>
      <c r="Q24" s="7">
        <v>23094.423997466089</v>
      </c>
      <c r="R24" s="17">
        <v>7108.6648420718266</v>
      </c>
      <c r="S24" s="6" t="s">
        <v>64</v>
      </c>
    </row>
    <row r="25" spans="1:19" x14ac:dyDescent="0.2">
      <c r="A25" s="6" t="s">
        <v>104</v>
      </c>
      <c r="B25" s="6" t="s">
        <v>105</v>
      </c>
      <c r="C25" s="6" t="s">
        <v>56</v>
      </c>
      <c r="D25" s="7">
        <v>245.88836104513061</v>
      </c>
      <c r="E25" s="7">
        <v>97.228637413394921</v>
      </c>
      <c r="F25" s="7">
        <v>210</v>
      </c>
      <c r="G25" s="8">
        <v>-0.1459538828620833</v>
      </c>
      <c r="H25" s="9">
        <v>-3.733754834493539</v>
      </c>
      <c r="I25" s="9">
        <v>-1.13023524958875</v>
      </c>
      <c r="J25" s="6" t="s">
        <v>63</v>
      </c>
      <c r="K25" s="6" t="s">
        <v>58</v>
      </c>
      <c r="L25" s="6">
        <v>2</v>
      </c>
      <c r="M25" s="7">
        <v>150.21396827494229</v>
      </c>
      <c r="N25" s="17">
        <v>28.333333333333329</v>
      </c>
      <c r="O25" s="7" t="s">
        <v>52</v>
      </c>
      <c r="P25" s="7">
        <v>21152.57890685142</v>
      </c>
      <c r="Q25" s="7">
        <v>27288.870903281189</v>
      </c>
      <c r="R25" s="6">
        <v>6136.2919964297689</v>
      </c>
      <c r="S25" s="6" t="s">
        <v>64</v>
      </c>
    </row>
    <row r="26" spans="1:19" x14ac:dyDescent="0.2">
      <c r="A26" s="6" t="s">
        <v>106</v>
      </c>
      <c r="B26" s="6" t="s">
        <v>107</v>
      </c>
      <c r="C26" s="6" t="s">
        <v>56</v>
      </c>
      <c r="D26" s="7">
        <v>532.52452830188679</v>
      </c>
      <c r="E26" s="7">
        <v>61.200923787528858</v>
      </c>
      <c r="F26" s="7">
        <v>590</v>
      </c>
      <c r="G26" s="12">
        <v>0.1079301865801203</v>
      </c>
      <c r="H26" s="9">
        <v>-6.4314457303966621E-2</v>
      </c>
      <c r="I26" s="9">
        <v>-1.1328111098475471</v>
      </c>
      <c r="J26" s="6" t="s">
        <v>63</v>
      </c>
      <c r="K26" s="6" t="s">
        <v>58</v>
      </c>
      <c r="L26" s="6">
        <v>1</v>
      </c>
      <c r="M26" s="7">
        <v>60.776099326835258</v>
      </c>
      <c r="N26" s="17">
        <v>62.43333333333333</v>
      </c>
      <c r="O26" s="7" t="s">
        <v>52</v>
      </c>
      <c r="P26" s="7">
        <v>28770.01539645881</v>
      </c>
      <c r="Q26" s="7">
        <v>32063.444134860729</v>
      </c>
      <c r="R26" s="6">
        <v>3293.4287384019121</v>
      </c>
      <c r="S26" s="6" t="s">
        <v>53</v>
      </c>
    </row>
    <row r="27" spans="1:19" x14ac:dyDescent="0.2">
      <c r="A27" s="6" t="s">
        <v>108</v>
      </c>
      <c r="B27" s="6" t="s">
        <v>109</v>
      </c>
      <c r="C27" s="6" t="s">
        <v>56</v>
      </c>
      <c r="D27" s="7">
        <v>609.55535390199634</v>
      </c>
      <c r="E27" s="7">
        <v>127.2517321016166</v>
      </c>
      <c r="F27" s="7">
        <v>550</v>
      </c>
      <c r="G27" s="8">
        <v>-9.7702946124186757E-2</v>
      </c>
      <c r="H27" s="9">
        <v>-1.7641271114040109</v>
      </c>
      <c r="I27" s="9">
        <v>-1.13764326814377</v>
      </c>
      <c r="J27" s="11" t="s">
        <v>57</v>
      </c>
      <c r="K27" s="6" t="s">
        <v>58</v>
      </c>
      <c r="L27" s="6">
        <v>4</v>
      </c>
      <c r="M27" s="7">
        <v>149.18489359886129</v>
      </c>
      <c r="N27" s="17">
        <v>73.75</v>
      </c>
      <c r="O27" s="7" t="s">
        <v>52</v>
      </c>
      <c r="P27" s="7">
        <v>68182.159353348718</v>
      </c>
      <c r="Q27" s="7">
        <v>71049.3055764577</v>
      </c>
      <c r="R27" s="17">
        <v>2867.1462231089831</v>
      </c>
      <c r="S27" s="6" t="s">
        <v>53</v>
      </c>
    </row>
    <row r="28" spans="1:19" x14ac:dyDescent="0.2">
      <c r="A28" s="6" t="s">
        <v>110</v>
      </c>
      <c r="B28" s="6" t="s">
        <v>111</v>
      </c>
      <c r="C28" s="6" t="s">
        <v>56</v>
      </c>
      <c r="D28" s="7">
        <v>573.99701492537315</v>
      </c>
      <c r="E28" s="7">
        <v>77.367205542725173</v>
      </c>
      <c r="F28" s="7">
        <v>490</v>
      </c>
      <c r="G28" s="8">
        <v>-0.1463370239587288</v>
      </c>
      <c r="H28" s="9">
        <v>-1.832149505494403</v>
      </c>
      <c r="I28" s="9">
        <v>-1.1639470534202361</v>
      </c>
      <c r="J28" s="11" t="s">
        <v>57</v>
      </c>
      <c r="K28" s="6" t="s">
        <v>58</v>
      </c>
      <c r="L28" s="6">
        <v>3</v>
      </c>
      <c r="M28" s="7">
        <v>98.110228068661684</v>
      </c>
      <c r="N28" s="17">
        <v>80.849999999999994</v>
      </c>
      <c r="O28" s="7" t="s">
        <v>52</v>
      </c>
      <c r="P28" s="7">
        <v>38153.406466512701</v>
      </c>
      <c r="Q28" s="7">
        <v>40141.799814292928</v>
      </c>
      <c r="R28" s="17">
        <v>1988.393347780227</v>
      </c>
      <c r="S28" s="6" t="s">
        <v>53</v>
      </c>
    </row>
    <row r="29" spans="1:19" x14ac:dyDescent="0.2">
      <c r="A29" s="6" t="s">
        <v>112</v>
      </c>
      <c r="B29" s="6" t="s">
        <v>113</v>
      </c>
      <c r="C29" s="6" t="s">
        <v>49</v>
      </c>
      <c r="D29" s="7">
        <v>1149</v>
      </c>
      <c r="E29" s="7">
        <v>138.1062355658199</v>
      </c>
      <c r="F29" s="7">
        <v>1210</v>
      </c>
      <c r="G29" s="12">
        <v>5.3089643167972149E-2</v>
      </c>
      <c r="H29" s="9">
        <v>-0.78290550930127867</v>
      </c>
      <c r="I29" s="9">
        <v>-1.058249414445243</v>
      </c>
      <c r="J29" s="6" t="s">
        <v>63</v>
      </c>
      <c r="K29" s="6" t="s">
        <v>58</v>
      </c>
      <c r="L29" s="6">
        <v>1</v>
      </c>
      <c r="M29" s="7">
        <v>132.36596394328399</v>
      </c>
      <c r="N29" s="17">
        <v>63.244615384615393</v>
      </c>
      <c r="O29" s="7" t="s">
        <v>52</v>
      </c>
      <c r="P29" s="7">
        <v>149949.58891454971</v>
      </c>
      <c r="Q29" s="7">
        <v>151791.38189176671</v>
      </c>
      <c r="R29" s="6">
        <v>1841.792977217061</v>
      </c>
      <c r="S29" s="6" t="s">
        <v>53</v>
      </c>
    </row>
    <row r="30" spans="1:19" x14ac:dyDescent="0.2">
      <c r="A30" s="6" t="s">
        <v>114</v>
      </c>
      <c r="B30" s="6" t="s">
        <v>115</v>
      </c>
      <c r="C30" s="6" t="s">
        <v>56</v>
      </c>
      <c r="D30" s="7">
        <v>132.46422893481721</v>
      </c>
      <c r="E30" s="7">
        <v>145.26558891454971</v>
      </c>
      <c r="F30" s="7">
        <v>150</v>
      </c>
      <c r="G30" s="12">
        <v>0.13238118098895829</v>
      </c>
      <c r="H30" s="9">
        <v>-0.37837638686802072</v>
      </c>
      <c r="I30" s="9">
        <v>-1.3352586829115509</v>
      </c>
      <c r="J30" s="6" t="s">
        <v>63</v>
      </c>
      <c r="K30" s="6" t="s">
        <v>58</v>
      </c>
      <c r="L30" s="6">
        <v>4</v>
      </c>
      <c r="M30" s="7">
        <v>137.98924821090989</v>
      </c>
      <c r="N30" s="17">
        <v>33.259310344827583</v>
      </c>
      <c r="O30" s="7" t="s">
        <v>52</v>
      </c>
      <c r="P30" s="7">
        <v>14411.060922194791</v>
      </c>
      <c r="Q30" s="7">
        <v>16108.960001140391</v>
      </c>
      <c r="R30" s="6">
        <v>1697.8990789456041</v>
      </c>
      <c r="S30" s="6" t="s">
        <v>53</v>
      </c>
    </row>
    <row r="31" spans="1:19" x14ac:dyDescent="0.2">
      <c r="A31" s="6" t="s">
        <v>116</v>
      </c>
      <c r="B31" s="6" t="s">
        <v>117</v>
      </c>
      <c r="C31" s="6" t="s">
        <v>56</v>
      </c>
      <c r="D31" s="7">
        <v>683.88888888888891</v>
      </c>
      <c r="E31" s="7">
        <v>51.963048498845268</v>
      </c>
      <c r="F31" s="7">
        <v>620</v>
      </c>
      <c r="G31" s="8">
        <v>-9.3419983753046332E-2</v>
      </c>
      <c r="H31" s="9">
        <v>-2.3697537837821541</v>
      </c>
      <c r="I31" s="9">
        <v>-1.578047147565383</v>
      </c>
      <c r="J31" s="10" t="s">
        <v>50</v>
      </c>
      <c r="K31" s="6" t="s">
        <v>51</v>
      </c>
      <c r="L31" s="6"/>
      <c r="M31" s="7">
        <v>63.466750807256588</v>
      </c>
      <c r="N31" s="17">
        <v>250.51217391304351</v>
      </c>
      <c r="O31" s="7" t="s">
        <v>52</v>
      </c>
      <c r="P31" s="7">
        <v>22519.5752585601</v>
      </c>
      <c r="Q31" s="7">
        <v>23450.191784575829</v>
      </c>
      <c r="R31" s="6">
        <v>930.61652601573223</v>
      </c>
      <c r="S31" s="6" t="s">
        <v>64</v>
      </c>
    </row>
    <row r="32" spans="1:19" x14ac:dyDescent="0.2">
      <c r="A32" s="6" t="s">
        <v>118</v>
      </c>
      <c r="B32" s="6" t="s">
        <v>119</v>
      </c>
      <c r="C32" s="6" t="s">
        <v>49</v>
      </c>
      <c r="D32" s="7">
        <v>449</v>
      </c>
      <c r="E32" s="7">
        <v>163.04849884526561</v>
      </c>
      <c r="F32" s="7">
        <v>470</v>
      </c>
      <c r="G32" s="12">
        <v>4.6770601336302897E-2</v>
      </c>
      <c r="H32" s="9">
        <v>-0.79078567053692428</v>
      </c>
      <c r="I32" s="9">
        <v>-1.1097105855020879</v>
      </c>
      <c r="J32" s="10" t="s">
        <v>50</v>
      </c>
      <c r="K32" s="6" t="s">
        <v>51</v>
      </c>
      <c r="L32" s="6"/>
      <c r="M32" s="7">
        <v>157.0180651119087</v>
      </c>
      <c r="N32" s="17">
        <v>44.39</v>
      </c>
      <c r="O32" s="7" t="s">
        <v>52</v>
      </c>
      <c r="P32" s="7">
        <v>65971.053117782911</v>
      </c>
      <c r="Q32" s="7">
        <v>66828.45869227947</v>
      </c>
      <c r="R32" s="6">
        <v>857.40557449655898</v>
      </c>
      <c r="S32" s="6" t="s">
        <v>64</v>
      </c>
    </row>
    <row r="33" spans="1:19" x14ac:dyDescent="0.2">
      <c r="A33" s="6" t="s">
        <v>120</v>
      </c>
      <c r="B33" s="6" t="s">
        <v>121</v>
      </c>
      <c r="C33" s="6" t="s">
        <v>56</v>
      </c>
      <c r="D33" s="7">
        <v>73.87394957983193</v>
      </c>
      <c r="E33" s="7">
        <v>164.8960739030023</v>
      </c>
      <c r="F33" s="7">
        <v>80</v>
      </c>
      <c r="G33" s="12">
        <v>8.2925719485837837E-2</v>
      </c>
      <c r="H33" s="9">
        <v>-0.2689795110634865</v>
      </c>
      <c r="I33" s="9">
        <v>-1.1950013512909361</v>
      </c>
      <c r="J33" s="6" t="s">
        <v>63</v>
      </c>
      <c r="K33" s="6" t="s">
        <v>58</v>
      </c>
      <c r="L33" s="6">
        <v>1</v>
      </c>
      <c r="M33" s="7">
        <v>161.2180142932867</v>
      </c>
      <c r="N33" s="17">
        <v>12.05481481481481</v>
      </c>
      <c r="O33" s="7" t="s">
        <v>52</v>
      </c>
      <c r="P33" s="7">
        <v>10193.732614831921</v>
      </c>
      <c r="Q33" s="7">
        <v>10953.987836345201</v>
      </c>
      <c r="R33" s="6">
        <v>760.25522151327641</v>
      </c>
      <c r="S33" s="6" t="s">
        <v>64</v>
      </c>
    </row>
    <row r="34" spans="1:19" x14ac:dyDescent="0.2">
      <c r="A34" s="6" t="s">
        <v>122</v>
      </c>
      <c r="B34" s="6" t="s">
        <v>123</v>
      </c>
      <c r="C34" s="6" t="s">
        <v>56</v>
      </c>
      <c r="D34" s="7">
        <v>386.84776403425309</v>
      </c>
      <c r="E34" s="7">
        <v>242.7251732101617</v>
      </c>
      <c r="F34" s="7">
        <v>350</v>
      </c>
      <c r="G34" s="8">
        <v>-9.5251330006370247E-2</v>
      </c>
      <c r="H34" s="9">
        <v>-1.273147819780216</v>
      </c>
      <c r="I34" s="9">
        <v>-1.060822486075069</v>
      </c>
      <c r="J34" s="10" t="s">
        <v>50</v>
      </c>
      <c r="K34" s="6" t="s">
        <v>51</v>
      </c>
      <c r="L34" s="6"/>
      <c r="M34" s="7">
        <v>272.16021785412102</v>
      </c>
      <c r="N34" s="17">
        <v>22.18</v>
      </c>
      <c r="O34" s="7" t="s">
        <v>52</v>
      </c>
      <c r="P34" s="7">
        <v>88514.046189376444</v>
      </c>
      <c r="Q34" s="7">
        <v>89219.562616937925</v>
      </c>
      <c r="R34" s="6">
        <v>705.51642756148067</v>
      </c>
      <c r="S34" s="6" t="s">
        <v>53</v>
      </c>
    </row>
    <row r="35" spans="1:19" x14ac:dyDescent="0.2">
      <c r="A35" s="6" t="s">
        <v>124</v>
      </c>
      <c r="B35" s="6" t="s">
        <v>125</v>
      </c>
      <c r="C35" s="6" t="s">
        <v>56</v>
      </c>
      <c r="D35" s="7">
        <v>78.947039138658525</v>
      </c>
      <c r="E35" s="7">
        <v>1587.2979214780601</v>
      </c>
      <c r="F35" s="7">
        <v>80</v>
      </c>
      <c r="G35" s="12">
        <v>1.333755987342488E-2</v>
      </c>
      <c r="H35" s="9">
        <v>-0.62294760225537271</v>
      </c>
      <c r="I35" s="9">
        <v>-1.0322355323802621</v>
      </c>
      <c r="J35" s="11" t="s">
        <v>57</v>
      </c>
      <c r="K35" s="6" t="s">
        <v>58</v>
      </c>
      <c r="L35" s="6">
        <v>3</v>
      </c>
      <c r="M35" s="7">
        <v>1574.1096964707069</v>
      </c>
      <c r="N35" s="17">
        <v>2.4654255319148941</v>
      </c>
      <c r="O35" s="7" t="s">
        <v>52</v>
      </c>
      <c r="P35" s="7">
        <v>121399.10630927231</v>
      </c>
      <c r="Q35" s="7">
        <v>122047.9254819429</v>
      </c>
      <c r="R35" s="17">
        <v>648.81917267056997</v>
      </c>
      <c r="S35" s="6" t="s">
        <v>64</v>
      </c>
    </row>
    <row r="36" spans="1:19" x14ac:dyDescent="0.2">
      <c r="A36" s="6" t="s">
        <v>126</v>
      </c>
      <c r="B36" s="6" t="s">
        <v>127</v>
      </c>
      <c r="C36" s="6" t="s">
        <v>56</v>
      </c>
      <c r="D36" s="7">
        <v>384.50074738415537</v>
      </c>
      <c r="E36" s="7">
        <v>154.50346420323319</v>
      </c>
      <c r="F36" s="7">
        <v>350</v>
      </c>
      <c r="G36" s="8">
        <v>-8.9728687444359287E-2</v>
      </c>
      <c r="H36" s="9">
        <v>-1.273147819780216</v>
      </c>
      <c r="I36" s="9">
        <v>-1.030333826381314</v>
      </c>
      <c r="J36" s="10" t="s">
        <v>50</v>
      </c>
      <c r="K36" s="6" t="s">
        <v>51</v>
      </c>
      <c r="L36" s="6"/>
      <c r="M36" s="7">
        <v>172.15361283776701</v>
      </c>
      <c r="N36" s="17">
        <v>11.32</v>
      </c>
      <c r="O36" s="7" t="s">
        <v>52</v>
      </c>
      <c r="P36" s="7">
        <v>57657.718244803691</v>
      </c>
      <c r="Q36" s="7">
        <v>58304.985595894927</v>
      </c>
      <c r="R36" s="6">
        <v>647.26735109124274</v>
      </c>
      <c r="S36" s="6" t="s">
        <v>53</v>
      </c>
    </row>
    <row r="37" spans="1:19" x14ac:dyDescent="0.2">
      <c r="A37" s="6" t="s">
        <v>128</v>
      </c>
      <c r="B37" s="6" t="s">
        <v>129</v>
      </c>
      <c r="C37" s="6" t="s">
        <v>56</v>
      </c>
      <c r="D37" s="7">
        <v>162.18518518518519</v>
      </c>
      <c r="E37" s="7">
        <v>230.715935334873</v>
      </c>
      <c r="F37" s="7">
        <v>170</v>
      </c>
      <c r="G37" s="12">
        <v>4.8184517013016639E-2</v>
      </c>
      <c r="H37" s="9">
        <v>-0.68249003901496008</v>
      </c>
      <c r="I37" s="9">
        <v>-1.094753421104441</v>
      </c>
      <c r="J37" s="11" t="s">
        <v>57</v>
      </c>
      <c r="K37" s="6" t="s">
        <v>58</v>
      </c>
      <c r="L37" s="6">
        <v>3</v>
      </c>
      <c r="M37" s="7">
        <v>223.12873731103119</v>
      </c>
      <c r="N37" s="17">
        <v>14.0375</v>
      </c>
      <c r="O37" s="7" t="s">
        <v>52</v>
      </c>
      <c r="P37" s="7">
        <v>34180.031755196309</v>
      </c>
      <c r="Q37" s="7">
        <v>34799.715692871709</v>
      </c>
      <c r="R37" s="17">
        <v>619.68393767539965</v>
      </c>
      <c r="S37" s="6" t="s">
        <v>64</v>
      </c>
    </row>
    <row r="38" spans="1:19" x14ac:dyDescent="0.2">
      <c r="A38" s="6" t="s">
        <v>130</v>
      </c>
      <c r="B38" s="6" t="s">
        <v>131</v>
      </c>
      <c r="C38" s="6" t="s">
        <v>49</v>
      </c>
      <c r="D38" s="7">
        <v>375</v>
      </c>
      <c r="E38" s="7">
        <v>53.117782909930717</v>
      </c>
      <c r="F38" s="7">
        <v>390</v>
      </c>
      <c r="G38" s="12">
        <v>0.04</v>
      </c>
      <c r="H38" s="9">
        <v>-0.77725328634684787</v>
      </c>
      <c r="I38" s="9">
        <v>-1.428571428571429</v>
      </c>
      <c r="J38" s="6" t="s">
        <v>63</v>
      </c>
      <c r="K38" s="6" t="s">
        <v>58</v>
      </c>
      <c r="L38" s="6">
        <v>1</v>
      </c>
      <c r="M38" s="7">
        <v>51.466344056722633</v>
      </c>
      <c r="N38" s="17">
        <v>112.5</v>
      </c>
      <c r="O38" s="7" t="s">
        <v>132</v>
      </c>
      <c r="P38" s="7">
        <v>13943.41801385681</v>
      </c>
      <c r="Q38" s="7">
        <v>14281.910475740529</v>
      </c>
      <c r="R38" s="6">
        <v>338.49246188371762</v>
      </c>
      <c r="S38" s="6" t="s">
        <v>64</v>
      </c>
    </row>
    <row r="39" spans="1:19" x14ac:dyDescent="0.2">
      <c r="A39" s="6" t="s">
        <v>133</v>
      </c>
      <c r="B39" s="6" t="s">
        <v>134</v>
      </c>
      <c r="C39" s="6" t="s">
        <v>56</v>
      </c>
      <c r="D39" s="7">
        <v>145.65637065637071</v>
      </c>
      <c r="E39" s="7">
        <v>119.63048498845269</v>
      </c>
      <c r="F39" s="7">
        <v>150</v>
      </c>
      <c r="G39" s="12">
        <v>2.9821073558648121E-2</v>
      </c>
      <c r="H39" s="9">
        <v>-0.63314010997159254</v>
      </c>
      <c r="I39" s="9">
        <v>-1.1096244219143541</v>
      </c>
      <c r="J39" s="11" t="s">
        <v>57</v>
      </c>
      <c r="K39" s="6" t="s">
        <v>58</v>
      </c>
      <c r="L39" s="6">
        <v>2</v>
      </c>
      <c r="M39" s="7">
        <v>117.3717516359215</v>
      </c>
      <c r="N39" s="17">
        <v>14.39</v>
      </c>
      <c r="O39" s="7" t="s">
        <v>52</v>
      </c>
      <c r="P39" s="7">
        <v>15703.45958429561</v>
      </c>
      <c r="Q39" s="7">
        <v>15916.78323934732</v>
      </c>
      <c r="R39" s="17">
        <v>213.32365505170671</v>
      </c>
      <c r="S39" s="6" t="s">
        <v>53</v>
      </c>
    </row>
    <row r="40" spans="1:19" x14ac:dyDescent="0.2">
      <c r="A40" s="6" t="s">
        <v>135</v>
      </c>
      <c r="B40" s="6" t="s">
        <v>136</v>
      </c>
      <c r="C40" s="6" t="s">
        <v>56</v>
      </c>
      <c r="D40" s="7">
        <v>349</v>
      </c>
      <c r="E40" s="7">
        <v>56.351039260969984</v>
      </c>
      <c r="F40" s="7">
        <v>310</v>
      </c>
      <c r="G40" s="8">
        <v>-0.1117478510028653</v>
      </c>
      <c r="H40" s="9">
        <v>-1.273147819780216</v>
      </c>
      <c r="I40" s="9">
        <v>-1.0463277344306281</v>
      </c>
      <c r="J40" s="10" t="s">
        <v>50</v>
      </c>
      <c r="K40" s="6" t="s">
        <v>51</v>
      </c>
      <c r="L40" s="6"/>
      <c r="M40" s="7">
        <v>64.36818799541318</v>
      </c>
      <c r="N40" s="17">
        <v>15.452500000000001</v>
      </c>
      <c r="O40" s="7" t="s">
        <v>52</v>
      </c>
      <c r="P40" s="7">
        <v>18795.74826789838</v>
      </c>
      <c r="Q40" s="7">
        <v>18959.488853578969</v>
      </c>
      <c r="R40" s="6">
        <v>163.74058568058169</v>
      </c>
      <c r="S40" s="6" t="s">
        <v>53</v>
      </c>
    </row>
    <row r="42" spans="1:19" x14ac:dyDescent="0.2">
      <c r="A42" s="13" t="s">
        <v>137</v>
      </c>
      <c r="Q42" s="14">
        <v>1152953</v>
      </c>
    </row>
    <row r="43" spans="1:19" x14ac:dyDescent="0.2">
      <c r="A43" s="13" t="s">
        <v>1234</v>
      </c>
      <c r="P43" s="26">
        <f>SUBTOTAL(9,P3:P41)</f>
        <v>5291654.2602964416</v>
      </c>
      <c r="Q43" s="26">
        <f>SUBTOTAL(9,Q3:Q41)</f>
        <v>6301975.3876613192</v>
      </c>
      <c r="R43" s="27">
        <f>Q43/P43-1</f>
        <v>0.19092727484963823</v>
      </c>
    </row>
  </sheetData>
  <autoFilter ref="A1:S4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F30A-111A-6842-99B9-A4E0F7362740}">
  <dimension ref="A1:N13"/>
  <sheetViews>
    <sheetView workbookViewId="0">
      <selection activeCell="C11" sqref="C11"/>
    </sheetView>
  </sheetViews>
  <sheetFormatPr baseColWidth="10" defaultRowHeight="15" x14ac:dyDescent="0.2"/>
  <cols>
    <col min="2" max="2" width="34.6640625" customWidth="1"/>
  </cols>
  <sheetData>
    <row r="1" spans="1:14" ht="42" x14ac:dyDescent="0.2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39</v>
      </c>
      <c r="I1" s="5" t="s">
        <v>40</v>
      </c>
      <c r="J1" s="5" t="s">
        <v>41</v>
      </c>
      <c r="K1" s="5" t="s">
        <v>43</v>
      </c>
      <c r="L1" s="5" t="s">
        <v>44</v>
      </c>
      <c r="M1" s="5" t="s">
        <v>45</v>
      </c>
      <c r="N1" s="5" t="s">
        <v>46</v>
      </c>
    </row>
    <row r="2" spans="1:14" x14ac:dyDescent="0.2">
      <c r="A2" s="6" t="s">
        <v>54</v>
      </c>
      <c r="B2" s="6" t="s">
        <v>55</v>
      </c>
      <c r="C2" s="6" t="s">
        <v>56</v>
      </c>
      <c r="D2" s="7">
        <v>409.03150846790072</v>
      </c>
      <c r="E2" s="7">
        <v>586.37413394919167</v>
      </c>
      <c r="F2" s="7">
        <v>350</v>
      </c>
      <c r="G2" s="8">
        <v>-0.14432019843413429</v>
      </c>
      <c r="H2" s="6">
        <v>2</v>
      </c>
      <c r="I2" s="7">
        <v>1272.1995877496599</v>
      </c>
      <c r="J2" s="17">
        <v>103.9</v>
      </c>
      <c r="K2" s="7">
        <v>178921.22401847571</v>
      </c>
      <c r="L2" s="7">
        <v>313088.31854519132</v>
      </c>
      <c r="M2" s="17">
        <v>134167.09452671549</v>
      </c>
      <c r="N2" s="6" t="s">
        <v>53</v>
      </c>
    </row>
    <row r="3" spans="1:14" x14ac:dyDescent="0.2">
      <c r="A3" s="6" t="s">
        <v>88</v>
      </c>
      <c r="B3" s="6" t="s">
        <v>89</v>
      </c>
      <c r="C3" s="6" t="s">
        <v>56</v>
      </c>
      <c r="D3" s="7">
        <v>357.04063957361763</v>
      </c>
      <c r="E3" s="7">
        <v>1039.953810623557</v>
      </c>
      <c r="F3" s="7">
        <v>390</v>
      </c>
      <c r="G3" s="12">
        <v>9.2312629917263522E-2</v>
      </c>
      <c r="H3" s="6">
        <v>4</v>
      </c>
      <c r="I3" s="7">
        <v>994.51548419778248</v>
      </c>
      <c r="J3" s="17">
        <v>96.921554404145084</v>
      </c>
      <c r="K3" s="7">
        <v>270511.83383790642</v>
      </c>
      <c r="L3" s="7">
        <v>291471.05222969508</v>
      </c>
      <c r="M3" s="17">
        <v>20959.218391788771</v>
      </c>
      <c r="N3" s="6" t="s">
        <v>53</v>
      </c>
    </row>
    <row r="4" spans="1:14" x14ac:dyDescent="0.2">
      <c r="A4" s="6" t="s">
        <v>98</v>
      </c>
      <c r="B4" s="6" t="s">
        <v>99</v>
      </c>
      <c r="C4" s="6" t="s">
        <v>56</v>
      </c>
      <c r="D4" s="7">
        <v>77.286473607038118</v>
      </c>
      <c r="E4" s="7">
        <v>1260.046189376443</v>
      </c>
      <c r="F4" s="7">
        <v>90</v>
      </c>
      <c r="G4" s="12">
        <v>0.16449872532163401</v>
      </c>
      <c r="H4" s="6">
        <v>4</v>
      </c>
      <c r="I4" s="7">
        <v>1205.8901563047691</v>
      </c>
      <c r="J4" s="17">
        <v>9.7804301075268807</v>
      </c>
      <c r="K4" s="7">
        <v>85060.732871439555</v>
      </c>
      <c r="L4" s="7">
        <v>96735.989676335739</v>
      </c>
      <c r="M4" s="17">
        <v>11675.25680489618</v>
      </c>
      <c r="N4" s="6" t="s">
        <v>64</v>
      </c>
    </row>
    <row r="5" spans="1:14" x14ac:dyDescent="0.2">
      <c r="A5" s="6" t="s">
        <v>102</v>
      </c>
      <c r="B5" s="6" t="s">
        <v>103</v>
      </c>
      <c r="C5" s="6" t="s">
        <v>56</v>
      </c>
      <c r="D5" s="7">
        <v>200.69774011299441</v>
      </c>
      <c r="E5" s="7">
        <v>81.755196304849889</v>
      </c>
      <c r="F5" s="7">
        <v>170</v>
      </c>
      <c r="G5" s="8">
        <v>-0.15295508606978481</v>
      </c>
      <c r="H5" s="6">
        <v>3</v>
      </c>
      <c r="I5" s="7">
        <v>140.1069194881982</v>
      </c>
      <c r="J5" s="17">
        <v>5.1657142857142846</v>
      </c>
      <c r="K5" s="7">
        <v>15985.75915539426</v>
      </c>
      <c r="L5" s="7">
        <v>23094.423997466089</v>
      </c>
      <c r="M5" s="17">
        <v>7108.6648420718266</v>
      </c>
      <c r="N5" s="6" t="s">
        <v>64</v>
      </c>
    </row>
    <row r="6" spans="1:14" x14ac:dyDescent="0.2">
      <c r="A6" s="6" t="s">
        <v>108</v>
      </c>
      <c r="B6" s="6" t="s">
        <v>109</v>
      </c>
      <c r="C6" s="6" t="s">
        <v>56</v>
      </c>
      <c r="D6" s="7">
        <v>609.55535390199634</v>
      </c>
      <c r="E6" s="7">
        <v>127.2517321016166</v>
      </c>
      <c r="F6" s="7">
        <v>550</v>
      </c>
      <c r="G6" s="8">
        <v>-9.7702946124186757E-2</v>
      </c>
      <c r="H6" s="6">
        <v>4</v>
      </c>
      <c r="I6" s="7">
        <v>149.18489359886129</v>
      </c>
      <c r="J6" s="17">
        <v>73.75</v>
      </c>
      <c r="K6" s="7">
        <v>68182.159353348718</v>
      </c>
      <c r="L6" s="7">
        <v>71049.3055764577</v>
      </c>
      <c r="M6" s="17">
        <v>2867.1462231089831</v>
      </c>
      <c r="N6" s="6" t="s">
        <v>53</v>
      </c>
    </row>
    <row r="7" spans="1:14" x14ac:dyDescent="0.2">
      <c r="A7" s="6" t="s">
        <v>110</v>
      </c>
      <c r="B7" s="6" t="s">
        <v>111</v>
      </c>
      <c r="C7" s="6" t="s">
        <v>56</v>
      </c>
      <c r="D7" s="7">
        <v>573.99701492537315</v>
      </c>
      <c r="E7" s="7">
        <v>77.367205542725173</v>
      </c>
      <c r="F7" s="7">
        <v>490</v>
      </c>
      <c r="G7" s="8">
        <v>-0.1463370239587288</v>
      </c>
      <c r="H7" s="6">
        <v>3</v>
      </c>
      <c r="I7" s="7">
        <v>98.110228068661684</v>
      </c>
      <c r="J7" s="17">
        <v>80.849999999999994</v>
      </c>
      <c r="K7" s="7">
        <v>38153.406466512701</v>
      </c>
      <c r="L7" s="7">
        <v>40141.799814292928</v>
      </c>
      <c r="M7" s="17">
        <v>1988.393347780227</v>
      </c>
      <c r="N7" s="6" t="s">
        <v>53</v>
      </c>
    </row>
    <row r="8" spans="1:14" x14ac:dyDescent="0.2">
      <c r="A8" s="6" t="s">
        <v>124</v>
      </c>
      <c r="B8" s="6" t="s">
        <v>125</v>
      </c>
      <c r="C8" s="6" t="s">
        <v>56</v>
      </c>
      <c r="D8" s="7">
        <v>78.947039138658525</v>
      </c>
      <c r="E8" s="7">
        <v>1587.2979214780601</v>
      </c>
      <c r="F8" s="7">
        <v>80</v>
      </c>
      <c r="G8" s="12">
        <v>1.333755987342488E-2</v>
      </c>
      <c r="H8" s="6">
        <v>3</v>
      </c>
      <c r="I8" s="7">
        <v>1574.1096964707069</v>
      </c>
      <c r="J8" s="17">
        <v>2.4654255319148941</v>
      </c>
      <c r="K8" s="7">
        <v>121399.10630927231</v>
      </c>
      <c r="L8" s="7">
        <v>122047.9254819429</v>
      </c>
      <c r="M8" s="17">
        <v>648.81917267056997</v>
      </c>
      <c r="N8" s="6" t="s">
        <v>64</v>
      </c>
    </row>
    <row r="9" spans="1:14" x14ac:dyDescent="0.2">
      <c r="A9" s="6" t="s">
        <v>128</v>
      </c>
      <c r="B9" s="6" t="s">
        <v>129</v>
      </c>
      <c r="C9" s="6" t="s">
        <v>56</v>
      </c>
      <c r="D9" s="7">
        <v>162.18518518518519</v>
      </c>
      <c r="E9" s="7">
        <v>230.715935334873</v>
      </c>
      <c r="F9" s="7">
        <v>170</v>
      </c>
      <c r="G9" s="12">
        <v>4.8184517013016639E-2</v>
      </c>
      <c r="H9" s="6">
        <v>3</v>
      </c>
      <c r="I9" s="7">
        <v>223.12873731103119</v>
      </c>
      <c r="J9" s="17">
        <v>14.0375</v>
      </c>
      <c r="K9" s="7">
        <v>34180.031755196309</v>
      </c>
      <c r="L9" s="7">
        <v>34799.715692871709</v>
      </c>
      <c r="M9" s="17">
        <v>619.68393767539965</v>
      </c>
      <c r="N9" s="6" t="s">
        <v>64</v>
      </c>
    </row>
    <row r="10" spans="1:14" x14ac:dyDescent="0.2">
      <c r="A10" s="6" t="s">
        <v>133</v>
      </c>
      <c r="B10" s="6" t="s">
        <v>134</v>
      </c>
      <c r="C10" s="6" t="s">
        <v>56</v>
      </c>
      <c r="D10" s="7">
        <v>145.65637065637071</v>
      </c>
      <c r="E10" s="7">
        <v>119.63048498845269</v>
      </c>
      <c r="F10" s="7">
        <v>150</v>
      </c>
      <c r="G10" s="12">
        <v>2.9821073558648121E-2</v>
      </c>
      <c r="H10" s="6">
        <v>2</v>
      </c>
      <c r="I10" s="7">
        <v>117.3717516359215</v>
      </c>
      <c r="J10" s="17">
        <v>14.39</v>
      </c>
      <c r="K10" s="7">
        <v>15703.45958429561</v>
      </c>
      <c r="L10" s="7">
        <v>15916.78323934732</v>
      </c>
      <c r="M10" s="17">
        <v>213.32365505170671</v>
      </c>
      <c r="N10" s="6" t="s">
        <v>53</v>
      </c>
    </row>
    <row r="11" spans="1:14" x14ac:dyDescent="0.2">
      <c r="J11" s="15"/>
    </row>
    <row r="12" spans="1:14" x14ac:dyDescent="0.2">
      <c r="A12" s="13" t="s">
        <v>137</v>
      </c>
      <c r="J12" s="15"/>
      <c r="L12" s="14">
        <v>1152953</v>
      </c>
    </row>
    <row r="13" spans="1:14" x14ac:dyDescent="0.2">
      <c r="A13" s="13" t="s">
        <v>1234</v>
      </c>
      <c r="J13" s="15"/>
      <c r="K13" s="14">
        <v>828097.71335184155</v>
      </c>
      <c r="L13" s="14">
        <v>1008345.3142536007</v>
      </c>
      <c r="M13" s="28">
        <v>0.2176646523659409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2BBD-9688-8046-937B-09234651CA13}">
  <sheetPr filterMode="1"/>
  <dimension ref="A1:K721"/>
  <sheetViews>
    <sheetView workbookViewId="0">
      <selection sqref="A1:XFD1"/>
    </sheetView>
  </sheetViews>
  <sheetFormatPr baseColWidth="10" defaultRowHeight="15" x14ac:dyDescent="0.2"/>
  <cols>
    <col min="1" max="1" width="92.33203125" bestFit="1" customWidth="1"/>
    <col min="9" max="10" width="16.33203125" bestFit="1" customWidth="1"/>
    <col min="11" max="11" width="10.1640625" bestFit="1" customWidth="1"/>
  </cols>
  <sheetData>
    <row r="1" spans="1:11" x14ac:dyDescent="0.2">
      <c r="A1" s="19" t="s">
        <v>803</v>
      </c>
      <c r="B1" s="20" t="s">
        <v>804</v>
      </c>
      <c r="C1" s="20" t="s">
        <v>805</v>
      </c>
      <c r="D1" s="20" t="s">
        <v>806</v>
      </c>
      <c r="E1" s="20" t="s">
        <v>807</v>
      </c>
      <c r="F1" s="20" t="s">
        <v>808</v>
      </c>
      <c r="G1" s="20" t="s">
        <v>809</v>
      </c>
      <c r="H1" s="20" t="s">
        <v>810</v>
      </c>
      <c r="I1" s="21" t="s">
        <v>811</v>
      </c>
      <c r="J1" s="21" t="s">
        <v>812</v>
      </c>
      <c r="K1" s="21" t="s">
        <v>813</v>
      </c>
    </row>
    <row r="2" spans="1:11" hidden="1" x14ac:dyDescent="0.2">
      <c r="A2" s="22" t="s">
        <v>197</v>
      </c>
      <c r="B2" s="23">
        <v>27525</v>
      </c>
      <c r="C2" s="23">
        <v>20376</v>
      </c>
      <c r="D2" s="23">
        <v>7537</v>
      </c>
      <c r="E2" s="23">
        <v>5915</v>
      </c>
      <c r="F2" s="23">
        <v>4461</v>
      </c>
      <c r="G2" s="23">
        <v>4226</v>
      </c>
      <c r="H2" s="23">
        <v>1694</v>
      </c>
      <c r="I2" s="24">
        <v>6.1544050862851953E-2</v>
      </c>
      <c r="J2" s="24">
        <v>0.18657223796033995</v>
      </c>
      <c r="K2" s="24">
        <v>1.5594900849858357</v>
      </c>
    </row>
    <row r="3" spans="1:11" hidden="1" x14ac:dyDescent="0.2">
      <c r="A3" s="22" t="s">
        <v>55</v>
      </c>
      <c r="B3" s="23">
        <v>26872</v>
      </c>
      <c r="C3" s="23">
        <v>8672</v>
      </c>
      <c r="D3" s="23">
        <v>6064</v>
      </c>
      <c r="E3" s="23">
        <v>4967</v>
      </c>
      <c r="F3" s="23">
        <v>3911</v>
      </c>
      <c r="G3" s="23">
        <v>3696</v>
      </c>
      <c r="H3" s="23">
        <v>1407</v>
      </c>
      <c r="I3" s="24">
        <v>5.2359333134861567E-2</v>
      </c>
      <c r="J3" s="24">
        <v>6.7796610169491525E-2</v>
      </c>
      <c r="K3" s="24">
        <v>455.45762711864404</v>
      </c>
    </row>
    <row r="4" spans="1:11" hidden="1" x14ac:dyDescent="0.2">
      <c r="A4" s="22" t="s">
        <v>70</v>
      </c>
      <c r="B4" s="23">
        <v>15063</v>
      </c>
      <c r="C4" s="23">
        <v>6613</v>
      </c>
      <c r="D4" s="23">
        <v>4265</v>
      </c>
      <c r="E4" s="23">
        <v>3715</v>
      </c>
      <c r="F4" s="23">
        <v>2961</v>
      </c>
      <c r="G4" s="23">
        <v>2798</v>
      </c>
      <c r="H4" s="23">
        <v>1314</v>
      </c>
      <c r="I4" s="24">
        <v>8.7233618801035653E-2</v>
      </c>
      <c r="J4" s="24">
        <v>7.7633647798742142E-2</v>
      </c>
      <c r="K4" s="24">
        <v>1.4802476415094339</v>
      </c>
    </row>
    <row r="5" spans="1:11" x14ac:dyDescent="0.2">
      <c r="A5" s="22" t="s">
        <v>81</v>
      </c>
      <c r="B5" s="23">
        <v>9144</v>
      </c>
      <c r="C5" s="23">
        <v>5331</v>
      </c>
      <c r="D5" s="23">
        <v>3779</v>
      </c>
      <c r="E5" s="23">
        <v>3335</v>
      </c>
      <c r="F5" s="23">
        <v>2713</v>
      </c>
      <c r="G5" s="23">
        <v>2582</v>
      </c>
      <c r="H5" s="23">
        <v>1162</v>
      </c>
      <c r="I5" s="24">
        <v>0.12707786526684164</v>
      </c>
      <c r="J5" s="24">
        <v>0.12373225152129817</v>
      </c>
      <c r="K5" s="24">
        <v>18.547667342799187</v>
      </c>
    </row>
    <row r="6" spans="1:11" hidden="1" x14ac:dyDescent="0.2">
      <c r="A6" s="22" t="s">
        <v>89</v>
      </c>
      <c r="B6" s="23">
        <v>10733</v>
      </c>
      <c r="C6" s="23">
        <v>4750</v>
      </c>
      <c r="D6" s="23">
        <v>3524</v>
      </c>
      <c r="E6" s="23">
        <v>3076</v>
      </c>
      <c r="F6" s="23">
        <v>2527</v>
      </c>
      <c r="G6" s="23">
        <v>2378</v>
      </c>
      <c r="H6" s="23">
        <v>1126</v>
      </c>
      <c r="I6" s="24">
        <v>0.10491009037547749</v>
      </c>
      <c r="J6" s="24">
        <v>0.11633619933321636</v>
      </c>
      <c r="K6" s="24">
        <v>1.8833128619055974</v>
      </c>
    </row>
    <row r="7" spans="1:11" x14ac:dyDescent="0.2">
      <c r="A7" s="22" t="s">
        <v>99</v>
      </c>
      <c r="B7" s="23">
        <v>8158</v>
      </c>
      <c r="C7" s="23">
        <v>3512</v>
      </c>
      <c r="D7" s="23">
        <v>2845</v>
      </c>
      <c r="E7" s="23">
        <v>2526</v>
      </c>
      <c r="F7" s="23">
        <v>2158</v>
      </c>
      <c r="G7" s="23">
        <v>2051</v>
      </c>
      <c r="H7" s="23">
        <v>1092</v>
      </c>
      <c r="I7" s="24">
        <v>0.13385633733758273</v>
      </c>
      <c r="J7" s="24" t="s">
        <v>1233</v>
      </c>
      <c r="K7" s="24">
        <v>0</v>
      </c>
    </row>
    <row r="8" spans="1:11" hidden="1" x14ac:dyDescent="0.2">
      <c r="A8" s="22" t="s">
        <v>83</v>
      </c>
      <c r="B8" s="23">
        <v>22398</v>
      </c>
      <c r="C8" s="23">
        <v>7252</v>
      </c>
      <c r="D8" s="23">
        <v>4870</v>
      </c>
      <c r="E8" s="23">
        <v>4079</v>
      </c>
      <c r="F8" s="23">
        <v>3083</v>
      </c>
      <c r="G8" s="23">
        <v>2927</v>
      </c>
      <c r="H8" s="23">
        <v>1082</v>
      </c>
      <c r="I8" s="24">
        <v>4.8307884632556475E-2</v>
      </c>
      <c r="J8" s="24">
        <v>4.9332794177112817E-2</v>
      </c>
      <c r="K8" s="24">
        <v>9.0570157703194507</v>
      </c>
    </row>
    <row r="9" spans="1:11" hidden="1" x14ac:dyDescent="0.2">
      <c r="A9" s="22" t="s">
        <v>60</v>
      </c>
      <c r="B9" s="23">
        <v>13461</v>
      </c>
      <c r="C9" s="23">
        <v>9906</v>
      </c>
      <c r="D9" s="23">
        <v>3189</v>
      </c>
      <c r="E9" s="23">
        <v>2616</v>
      </c>
      <c r="F9" s="23">
        <v>1890</v>
      </c>
      <c r="G9" s="23">
        <v>1785</v>
      </c>
      <c r="H9" s="25">
        <v>897</v>
      </c>
      <c r="I9" s="24">
        <v>6.6636951192333413E-2</v>
      </c>
      <c r="J9" s="24">
        <v>0.21809357097390197</v>
      </c>
      <c r="K9" s="24">
        <v>1.0710534691279441</v>
      </c>
    </row>
    <row r="10" spans="1:11" hidden="1" x14ac:dyDescent="0.2">
      <c r="A10" s="22" t="s">
        <v>207</v>
      </c>
      <c r="B10" s="23">
        <v>8034</v>
      </c>
      <c r="C10" s="23">
        <v>4136</v>
      </c>
      <c r="D10" s="23">
        <v>2665</v>
      </c>
      <c r="E10" s="23">
        <v>2294</v>
      </c>
      <c r="F10" s="23">
        <v>1820</v>
      </c>
      <c r="G10" s="23">
        <v>1728</v>
      </c>
      <c r="H10" s="25">
        <v>890</v>
      </c>
      <c r="I10" s="24">
        <v>0.11077918844909136</v>
      </c>
      <c r="J10" s="24">
        <v>9.5025728987993135E-2</v>
      </c>
      <c r="K10" s="24">
        <v>1.3780445969125215</v>
      </c>
    </row>
    <row r="11" spans="1:11" hidden="1" x14ac:dyDescent="0.2">
      <c r="A11" s="22" t="s">
        <v>814</v>
      </c>
      <c r="B11" s="23">
        <v>12648</v>
      </c>
      <c r="C11" s="23">
        <v>5140</v>
      </c>
      <c r="D11" s="23">
        <v>3586</v>
      </c>
      <c r="E11" s="23">
        <v>3026</v>
      </c>
      <c r="F11" s="23">
        <v>2312</v>
      </c>
      <c r="G11" s="23">
        <v>2178</v>
      </c>
      <c r="H11" s="25">
        <v>875</v>
      </c>
      <c r="I11" s="24">
        <v>6.9180898165717902E-2</v>
      </c>
      <c r="J11" s="24">
        <v>0.1111111111111111</v>
      </c>
      <c r="K11" s="24">
        <v>200.76190476190476</v>
      </c>
    </row>
    <row r="12" spans="1:11" x14ac:dyDescent="0.2">
      <c r="A12" s="22" t="s">
        <v>173</v>
      </c>
      <c r="B12" s="23">
        <v>4381</v>
      </c>
      <c r="C12" s="23">
        <v>2546</v>
      </c>
      <c r="D12" s="23">
        <v>2022</v>
      </c>
      <c r="E12" s="23">
        <v>1797</v>
      </c>
      <c r="F12" s="23">
        <v>1516</v>
      </c>
      <c r="G12" s="23">
        <v>1429</v>
      </c>
      <c r="H12" s="25">
        <v>736</v>
      </c>
      <c r="I12" s="24">
        <v>0.16799817393289204</v>
      </c>
      <c r="J12" s="24">
        <v>0.1363973313565604</v>
      </c>
      <c r="K12" s="24">
        <v>1.6237954040029652</v>
      </c>
    </row>
    <row r="13" spans="1:11" x14ac:dyDescent="0.2">
      <c r="A13" s="22" t="s">
        <v>163</v>
      </c>
      <c r="B13" s="23">
        <v>2618</v>
      </c>
      <c r="C13" s="23">
        <v>2187</v>
      </c>
      <c r="D13" s="23">
        <v>1990</v>
      </c>
      <c r="E13" s="23">
        <v>1801</v>
      </c>
      <c r="F13" s="23">
        <v>1350</v>
      </c>
      <c r="G13" s="23">
        <v>1232</v>
      </c>
      <c r="H13" s="25">
        <v>662</v>
      </c>
      <c r="I13" s="24">
        <v>0.25286478227654696</v>
      </c>
      <c r="J13" s="24" t="s">
        <v>1233</v>
      </c>
      <c r="K13" s="24">
        <v>0</v>
      </c>
    </row>
    <row r="14" spans="1:11" x14ac:dyDescent="0.2">
      <c r="A14" s="22" t="s">
        <v>169</v>
      </c>
      <c r="B14" s="23">
        <v>4958</v>
      </c>
      <c r="C14" s="23">
        <v>2854</v>
      </c>
      <c r="D14" s="23">
        <v>1988</v>
      </c>
      <c r="E14" s="23">
        <v>1729</v>
      </c>
      <c r="F14" s="23">
        <v>1401</v>
      </c>
      <c r="G14" s="23">
        <v>1342</v>
      </c>
      <c r="H14" s="25">
        <v>649</v>
      </c>
      <c r="I14" s="24">
        <v>0.13089955627269059</v>
      </c>
      <c r="J14" s="24">
        <v>0.13376077824452798</v>
      </c>
      <c r="K14" s="24">
        <v>1.0961751050187929</v>
      </c>
    </row>
    <row r="15" spans="1:11" x14ac:dyDescent="0.2">
      <c r="A15" s="22" t="s">
        <v>203</v>
      </c>
      <c r="B15" s="23">
        <v>4576</v>
      </c>
      <c r="C15" s="23">
        <v>3790</v>
      </c>
      <c r="D15" s="23">
        <v>2379</v>
      </c>
      <c r="E15" s="23">
        <v>2082</v>
      </c>
      <c r="F15" s="23">
        <v>1637</v>
      </c>
      <c r="G15" s="23">
        <v>1548</v>
      </c>
      <c r="H15" s="25">
        <v>626</v>
      </c>
      <c r="I15" s="24">
        <v>0.1368006993006993</v>
      </c>
      <c r="J15" s="24" t="s">
        <v>1233</v>
      </c>
      <c r="K15" s="24">
        <v>0</v>
      </c>
    </row>
    <row r="16" spans="1:11" hidden="1" x14ac:dyDescent="0.2">
      <c r="A16" s="22" t="s">
        <v>167</v>
      </c>
      <c r="B16" s="23">
        <v>5254</v>
      </c>
      <c r="C16" s="23">
        <v>2580</v>
      </c>
      <c r="D16" s="23">
        <v>1968</v>
      </c>
      <c r="E16" s="23">
        <v>1747</v>
      </c>
      <c r="F16" s="23">
        <v>1428</v>
      </c>
      <c r="G16" s="23">
        <v>1364</v>
      </c>
      <c r="H16" s="25">
        <v>626</v>
      </c>
      <c r="I16" s="24">
        <v>0.11914731633041492</v>
      </c>
      <c r="J16" s="24">
        <v>9.8405717427157785E-2</v>
      </c>
      <c r="K16" s="24">
        <v>1.4442001099505222</v>
      </c>
    </row>
    <row r="17" spans="1:11" x14ac:dyDescent="0.2">
      <c r="A17" s="22" t="s">
        <v>125</v>
      </c>
      <c r="B17" s="23">
        <v>2933</v>
      </c>
      <c r="C17" s="23">
        <v>1866</v>
      </c>
      <c r="D17" s="23">
        <v>1539</v>
      </c>
      <c r="E17" s="23">
        <v>1370</v>
      </c>
      <c r="F17" s="23">
        <v>1155</v>
      </c>
      <c r="G17" s="23">
        <v>1106</v>
      </c>
      <c r="H17" s="25">
        <v>609</v>
      </c>
      <c r="I17" s="24">
        <v>0.20763723150357996</v>
      </c>
      <c r="J17" s="24" t="s">
        <v>1233</v>
      </c>
      <c r="K17" s="24">
        <v>0</v>
      </c>
    </row>
    <row r="18" spans="1:11" hidden="1" x14ac:dyDescent="0.2">
      <c r="A18" s="22" t="s">
        <v>66</v>
      </c>
      <c r="B18" s="23">
        <v>7723</v>
      </c>
      <c r="C18" s="23">
        <v>5543</v>
      </c>
      <c r="D18" s="23">
        <v>1996</v>
      </c>
      <c r="E18" s="23">
        <v>1593</v>
      </c>
      <c r="F18" s="23">
        <v>1171</v>
      </c>
      <c r="G18" s="23">
        <v>1116</v>
      </c>
      <c r="H18" s="25">
        <v>486</v>
      </c>
      <c r="I18" s="24">
        <v>6.2928913634597961E-2</v>
      </c>
      <c r="J18" s="24" t="s">
        <v>1233</v>
      </c>
      <c r="K18" s="24">
        <v>0</v>
      </c>
    </row>
    <row r="19" spans="1:11" hidden="1" x14ac:dyDescent="0.2">
      <c r="A19" s="22" t="s">
        <v>62</v>
      </c>
      <c r="B19" s="23">
        <v>7111</v>
      </c>
      <c r="C19" s="23">
        <v>2718</v>
      </c>
      <c r="D19" s="23">
        <v>1911</v>
      </c>
      <c r="E19" s="23">
        <v>1622</v>
      </c>
      <c r="F19" s="23">
        <v>1260</v>
      </c>
      <c r="G19" s="23">
        <v>1176</v>
      </c>
      <c r="H19" s="25">
        <v>481</v>
      </c>
      <c r="I19" s="24">
        <v>6.7641681901279713E-2</v>
      </c>
      <c r="J19" s="24" t="s">
        <v>1233</v>
      </c>
      <c r="K19" s="24">
        <v>0</v>
      </c>
    </row>
    <row r="20" spans="1:11" x14ac:dyDescent="0.2">
      <c r="A20" s="22" t="s">
        <v>77</v>
      </c>
      <c r="B20" s="23">
        <v>1990</v>
      </c>
      <c r="C20" s="23">
        <v>1515</v>
      </c>
      <c r="D20" s="23">
        <v>1265</v>
      </c>
      <c r="E20" s="23">
        <v>1130</v>
      </c>
      <c r="F20" s="25">
        <v>946</v>
      </c>
      <c r="G20" s="25">
        <v>903</v>
      </c>
      <c r="H20" s="25">
        <v>441</v>
      </c>
      <c r="I20" s="24">
        <v>0.22160804020100502</v>
      </c>
      <c r="J20" s="24" t="s">
        <v>1233</v>
      </c>
      <c r="K20" s="24">
        <v>0</v>
      </c>
    </row>
    <row r="21" spans="1:11" hidden="1" x14ac:dyDescent="0.2">
      <c r="A21" s="22" t="s">
        <v>195</v>
      </c>
      <c r="B21" s="23">
        <v>5989</v>
      </c>
      <c r="C21" s="23">
        <v>4409</v>
      </c>
      <c r="D21" s="23">
        <v>1658</v>
      </c>
      <c r="E21" s="23">
        <v>1428</v>
      </c>
      <c r="F21" s="23">
        <v>1123</v>
      </c>
      <c r="G21" s="23">
        <v>1074</v>
      </c>
      <c r="H21" s="25">
        <v>409</v>
      </c>
      <c r="I21" s="24">
        <v>6.8291868425446656E-2</v>
      </c>
      <c r="J21" s="24" t="s">
        <v>1233</v>
      </c>
      <c r="K21" s="24">
        <v>0</v>
      </c>
    </row>
    <row r="22" spans="1:11" x14ac:dyDescent="0.2">
      <c r="A22" s="22" t="s">
        <v>815</v>
      </c>
      <c r="B22" s="23">
        <v>1380</v>
      </c>
      <c r="C22" s="25">
        <v>905</v>
      </c>
      <c r="D22" s="25">
        <v>772</v>
      </c>
      <c r="E22" s="25">
        <v>701</v>
      </c>
      <c r="F22" s="25">
        <v>602</v>
      </c>
      <c r="G22" s="25">
        <v>578</v>
      </c>
      <c r="H22" s="25">
        <v>346</v>
      </c>
      <c r="I22" s="24">
        <v>0.25072463768115943</v>
      </c>
      <c r="J22" s="24" t="s">
        <v>1233</v>
      </c>
      <c r="K22" s="24">
        <v>0</v>
      </c>
    </row>
    <row r="23" spans="1:11" hidden="1" x14ac:dyDescent="0.2">
      <c r="A23" s="22" t="s">
        <v>48</v>
      </c>
      <c r="B23" s="23">
        <v>17888</v>
      </c>
      <c r="C23" s="23">
        <v>12075</v>
      </c>
      <c r="D23" s="23">
        <v>1285</v>
      </c>
      <c r="E23" s="25">
        <v>977</v>
      </c>
      <c r="F23" s="25">
        <v>788</v>
      </c>
      <c r="G23" s="25">
        <v>744</v>
      </c>
      <c r="H23" s="25">
        <v>303</v>
      </c>
      <c r="I23" s="24">
        <v>1.6938729874776386E-2</v>
      </c>
      <c r="J23" s="24">
        <v>0.19633099141295862</v>
      </c>
      <c r="K23" s="24">
        <v>1.745511319281811</v>
      </c>
    </row>
    <row r="24" spans="1:11" x14ac:dyDescent="0.2">
      <c r="A24" s="22" t="s">
        <v>161</v>
      </c>
      <c r="B24" s="23">
        <v>2046</v>
      </c>
      <c r="C24" s="23">
        <v>1216</v>
      </c>
      <c r="D24" s="25">
        <v>940</v>
      </c>
      <c r="E24" s="25">
        <v>815</v>
      </c>
      <c r="F24" s="25">
        <v>649</v>
      </c>
      <c r="G24" s="25">
        <v>619</v>
      </c>
      <c r="H24" s="25">
        <v>302</v>
      </c>
      <c r="I24" s="24">
        <v>0.14760508308895406</v>
      </c>
      <c r="J24" s="24">
        <v>0.12708600770218229</v>
      </c>
      <c r="K24" s="24">
        <v>1.3132220795892169</v>
      </c>
    </row>
    <row r="25" spans="1:11" hidden="1" x14ac:dyDescent="0.2">
      <c r="A25" s="22" t="s">
        <v>79</v>
      </c>
      <c r="B25" s="23">
        <v>2977</v>
      </c>
      <c r="C25" s="23">
        <v>2032</v>
      </c>
      <c r="D25" s="23">
        <v>1218</v>
      </c>
      <c r="E25" s="23">
        <v>1023</v>
      </c>
      <c r="F25" s="25">
        <v>754</v>
      </c>
      <c r="G25" s="25">
        <v>716</v>
      </c>
      <c r="H25" s="25">
        <v>283</v>
      </c>
      <c r="I25" s="24">
        <v>9.5062143097077598E-2</v>
      </c>
      <c r="J25" s="24" t="s">
        <v>1233</v>
      </c>
      <c r="K25" s="24">
        <v>0</v>
      </c>
    </row>
    <row r="26" spans="1:11" hidden="1" x14ac:dyDescent="0.2">
      <c r="A26" s="22" t="s">
        <v>129</v>
      </c>
      <c r="B26" s="23">
        <v>1977</v>
      </c>
      <c r="C26" s="25">
        <v>850</v>
      </c>
      <c r="D26" s="25">
        <v>647</v>
      </c>
      <c r="E26" s="25">
        <v>576</v>
      </c>
      <c r="F26" s="25">
        <v>482</v>
      </c>
      <c r="G26" s="25">
        <v>458</v>
      </c>
      <c r="H26" s="25">
        <v>229</v>
      </c>
      <c r="I26" s="24">
        <v>0.11583206879109763</v>
      </c>
      <c r="J26" s="24" t="s">
        <v>1233</v>
      </c>
      <c r="K26" s="24">
        <v>0</v>
      </c>
    </row>
    <row r="27" spans="1:11" hidden="1" x14ac:dyDescent="0.2">
      <c r="A27" s="22" t="s">
        <v>121</v>
      </c>
      <c r="B27" s="23">
        <v>1880</v>
      </c>
      <c r="C27" s="25">
        <v>904</v>
      </c>
      <c r="D27" s="25">
        <v>706</v>
      </c>
      <c r="E27" s="25">
        <v>595</v>
      </c>
      <c r="F27" s="25">
        <v>477</v>
      </c>
      <c r="G27" s="25">
        <v>448</v>
      </c>
      <c r="H27" s="25">
        <v>222</v>
      </c>
      <c r="I27" s="24">
        <v>0.11808510638297873</v>
      </c>
      <c r="J27" s="24" t="s">
        <v>1233</v>
      </c>
      <c r="K27" s="24">
        <v>0</v>
      </c>
    </row>
    <row r="28" spans="1:11" hidden="1" x14ac:dyDescent="0.2">
      <c r="A28" s="22" t="s">
        <v>149</v>
      </c>
      <c r="B28" s="23">
        <v>6327</v>
      </c>
      <c r="C28" s="23">
        <v>1587</v>
      </c>
      <c r="D28" s="25">
        <v>974</v>
      </c>
      <c r="E28" s="25">
        <v>779</v>
      </c>
      <c r="F28" s="25">
        <v>600</v>
      </c>
      <c r="G28" s="25">
        <v>572</v>
      </c>
      <c r="H28" s="25">
        <v>222</v>
      </c>
      <c r="I28" s="24">
        <v>3.5087719298245612E-2</v>
      </c>
      <c r="J28" s="24">
        <v>6.5420560747663545E-2</v>
      </c>
      <c r="K28" s="24">
        <v>19.710280373831775</v>
      </c>
    </row>
    <row r="29" spans="1:11" hidden="1" x14ac:dyDescent="0.2">
      <c r="A29" s="22" t="s">
        <v>187</v>
      </c>
      <c r="B29" s="23">
        <v>2269</v>
      </c>
      <c r="C29" s="23">
        <v>1686</v>
      </c>
      <c r="D29" s="25">
        <v>957</v>
      </c>
      <c r="E29" s="25">
        <v>790</v>
      </c>
      <c r="F29" s="25">
        <v>618</v>
      </c>
      <c r="G29" s="25">
        <v>581</v>
      </c>
      <c r="H29" s="25">
        <v>217</v>
      </c>
      <c r="I29" s="24">
        <v>9.563684442485676E-2</v>
      </c>
      <c r="J29" s="24">
        <v>0.12405446293494705</v>
      </c>
      <c r="K29" s="24">
        <v>3.4326777609682297</v>
      </c>
    </row>
    <row r="30" spans="1:11" hidden="1" x14ac:dyDescent="0.2">
      <c r="A30" s="22" t="s">
        <v>145</v>
      </c>
      <c r="B30" s="23">
        <v>2779</v>
      </c>
      <c r="C30" s="23">
        <v>1234</v>
      </c>
      <c r="D30" s="25">
        <v>825</v>
      </c>
      <c r="E30" s="25">
        <v>707</v>
      </c>
      <c r="F30" s="25">
        <v>572</v>
      </c>
      <c r="G30" s="25">
        <v>543</v>
      </c>
      <c r="H30" s="25">
        <v>205</v>
      </c>
      <c r="I30" s="24">
        <v>7.376754228139619E-2</v>
      </c>
      <c r="J30" s="24">
        <v>7.7049180327868852E-2</v>
      </c>
      <c r="K30" s="24">
        <v>1.5185792349726777</v>
      </c>
    </row>
    <row r="31" spans="1:11" x14ac:dyDescent="0.2">
      <c r="A31" s="22" t="s">
        <v>159</v>
      </c>
      <c r="B31" s="23">
        <v>1508</v>
      </c>
      <c r="C31" s="25">
        <v>829</v>
      </c>
      <c r="D31" s="25">
        <v>661</v>
      </c>
      <c r="E31" s="25">
        <v>585</v>
      </c>
      <c r="F31" s="25">
        <v>490</v>
      </c>
      <c r="G31" s="25">
        <v>464</v>
      </c>
      <c r="H31" s="25">
        <v>191</v>
      </c>
      <c r="I31" s="24">
        <v>0.12665782493368699</v>
      </c>
      <c r="J31" s="24" t="s">
        <v>1233</v>
      </c>
      <c r="K31" s="24">
        <v>0</v>
      </c>
    </row>
    <row r="32" spans="1:11" hidden="1" x14ac:dyDescent="0.2">
      <c r="A32" s="22" t="s">
        <v>183</v>
      </c>
      <c r="B32" s="23">
        <v>1994</v>
      </c>
      <c r="C32" s="23">
        <v>1526</v>
      </c>
      <c r="D32" s="25">
        <v>945</v>
      </c>
      <c r="E32" s="25">
        <v>797</v>
      </c>
      <c r="F32" s="25">
        <v>598</v>
      </c>
      <c r="G32" s="25">
        <v>577</v>
      </c>
      <c r="H32" s="25">
        <v>189</v>
      </c>
      <c r="I32" s="24">
        <v>9.4784353059177526E-2</v>
      </c>
      <c r="J32" s="24">
        <v>0.1141025641025641</v>
      </c>
      <c r="K32" s="24">
        <v>2.5564102564102562</v>
      </c>
    </row>
    <row r="33" spans="1:11" x14ac:dyDescent="0.2">
      <c r="A33" s="22" t="s">
        <v>95</v>
      </c>
      <c r="B33" s="23">
        <v>1418</v>
      </c>
      <c r="C33" s="23">
        <v>1018</v>
      </c>
      <c r="D33" s="25">
        <v>772</v>
      </c>
      <c r="E33" s="25">
        <v>657</v>
      </c>
      <c r="F33" s="25">
        <v>493</v>
      </c>
      <c r="G33" s="25">
        <v>479</v>
      </c>
      <c r="H33" s="25">
        <v>186</v>
      </c>
      <c r="I33" s="24">
        <v>0.1311706629055007</v>
      </c>
      <c r="J33" s="24">
        <v>0.12114989733059549</v>
      </c>
      <c r="K33" s="24">
        <v>2.9117043121149897</v>
      </c>
    </row>
    <row r="34" spans="1:11" x14ac:dyDescent="0.2">
      <c r="A34" s="22" t="s">
        <v>175</v>
      </c>
      <c r="B34" s="23">
        <v>1326</v>
      </c>
      <c r="C34" s="25">
        <v>927</v>
      </c>
      <c r="D34" s="25">
        <v>751</v>
      </c>
      <c r="E34" s="25">
        <v>643</v>
      </c>
      <c r="F34" s="25">
        <v>505</v>
      </c>
      <c r="G34" s="25">
        <v>471</v>
      </c>
      <c r="H34" s="25">
        <v>185</v>
      </c>
      <c r="I34" s="24">
        <v>0.13951734539969834</v>
      </c>
      <c r="J34" s="24">
        <v>0.12600806451612903</v>
      </c>
      <c r="K34" s="24">
        <v>1.3366935483870968</v>
      </c>
    </row>
    <row r="35" spans="1:11" x14ac:dyDescent="0.2">
      <c r="A35" s="22" t="s">
        <v>115</v>
      </c>
      <c r="B35" s="23">
        <v>1138</v>
      </c>
      <c r="C35" s="25">
        <v>728</v>
      </c>
      <c r="D35" s="25">
        <v>606</v>
      </c>
      <c r="E35" s="25">
        <v>534</v>
      </c>
      <c r="F35" s="25">
        <v>436</v>
      </c>
      <c r="G35" s="25">
        <v>421</v>
      </c>
      <c r="H35" s="25">
        <v>177</v>
      </c>
      <c r="I35" s="24">
        <v>0.1555360281195079</v>
      </c>
      <c r="J35" s="24">
        <v>0.13380839271575615</v>
      </c>
      <c r="K35" s="24">
        <v>0.90102929532858278</v>
      </c>
    </row>
    <row r="36" spans="1:11" x14ac:dyDescent="0.2">
      <c r="A36" s="22" t="s">
        <v>74</v>
      </c>
      <c r="B36" s="25">
        <v>690</v>
      </c>
      <c r="C36" s="25">
        <v>584</v>
      </c>
      <c r="D36" s="25">
        <v>485</v>
      </c>
      <c r="E36" s="25">
        <v>440</v>
      </c>
      <c r="F36" s="25">
        <v>350</v>
      </c>
      <c r="G36" s="25">
        <v>331</v>
      </c>
      <c r="H36" s="25">
        <v>152</v>
      </c>
      <c r="I36" s="24">
        <v>0.22028985507246376</v>
      </c>
      <c r="J36" s="24">
        <v>0.20842572062084258</v>
      </c>
      <c r="K36" s="24">
        <v>1.5299334811529934</v>
      </c>
    </row>
    <row r="37" spans="1:11" x14ac:dyDescent="0.2">
      <c r="A37" s="22" t="s">
        <v>816</v>
      </c>
      <c r="B37" s="25">
        <v>765</v>
      </c>
      <c r="C37" s="25">
        <v>503</v>
      </c>
      <c r="D37" s="25">
        <v>430</v>
      </c>
      <c r="E37" s="25">
        <v>380</v>
      </c>
      <c r="F37" s="25">
        <v>341</v>
      </c>
      <c r="G37" s="25">
        <v>323</v>
      </c>
      <c r="H37" s="25">
        <v>151</v>
      </c>
      <c r="I37" s="24">
        <v>0.19738562091503267</v>
      </c>
      <c r="J37" s="24" t="s">
        <v>1233</v>
      </c>
      <c r="K37" s="24">
        <v>0</v>
      </c>
    </row>
    <row r="38" spans="1:11" hidden="1" x14ac:dyDescent="0.2">
      <c r="A38" s="22" t="s">
        <v>109</v>
      </c>
      <c r="B38" s="23">
        <v>1951</v>
      </c>
      <c r="C38" s="23">
        <v>1160</v>
      </c>
      <c r="D38" s="25">
        <v>818</v>
      </c>
      <c r="E38" s="25">
        <v>730</v>
      </c>
      <c r="F38" s="25">
        <v>588</v>
      </c>
      <c r="G38" s="25">
        <v>569</v>
      </c>
      <c r="H38" s="25">
        <v>146</v>
      </c>
      <c r="I38" s="24">
        <v>7.4833418759610457E-2</v>
      </c>
      <c r="J38" s="24">
        <v>9.7232079488999285E-2</v>
      </c>
      <c r="K38" s="24">
        <v>1.3846699787083037</v>
      </c>
    </row>
    <row r="39" spans="1:11" hidden="1" x14ac:dyDescent="0.2">
      <c r="A39" s="22" t="s">
        <v>588</v>
      </c>
      <c r="B39" s="23">
        <v>1835</v>
      </c>
      <c r="C39" s="25">
        <v>955</v>
      </c>
      <c r="D39" s="25">
        <v>538</v>
      </c>
      <c r="E39" s="25">
        <v>440</v>
      </c>
      <c r="F39" s="25">
        <v>335</v>
      </c>
      <c r="G39" s="25">
        <v>319</v>
      </c>
      <c r="H39" s="25">
        <v>143</v>
      </c>
      <c r="I39" s="24">
        <v>7.7929155313351497E-2</v>
      </c>
      <c r="J39" s="24">
        <v>0.16058394160583941</v>
      </c>
      <c r="K39" s="24">
        <v>13.394160583941606</v>
      </c>
    </row>
    <row r="40" spans="1:11" hidden="1" x14ac:dyDescent="0.2">
      <c r="A40" s="22" t="s">
        <v>123</v>
      </c>
      <c r="B40" s="23">
        <v>3977</v>
      </c>
      <c r="C40" s="23">
        <v>1033</v>
      </c>
      <c r="D40" s="25">
        <v>615</v>
      </c>
      <c r="E40" s="25">
        <v>511</v>
      </c>
      <c r="F40" s="25">
        <v>409</v>
      </c>
      <c r="G40" s="25">
        <v>392</v>
      </c>
      <c r="H40" s="25">
        <v>142</v>
      </c>
      <c r="I40" s="24">
        <v>3.5705305506663315E-2</v>
      </c>
      <c r="J40" s="24">
        <v>9.5394736842105268E-2</v>
      </c>
      <c r="K40" s="24">
        <v>13.082236842105264</v>
      </c>
    </row>
    <row r="41" spans="1:11" hidden="1" x14ac:dyDescent="0.2">
      <c r="A41" s="22" t="s">
        <v>508</v>
      </c>
      <c r="B41" s="23">
        <v>1131</v>
      </c>
      <c r="C41" s="25">
        <v>808</v>
      </c>
      <c r="D41" s="25">
        <v>455</v>
      </c>
      <c r="E41" s="25">
        <v>396</v>
      </c>
      <c r="F41" s="25">
        <v>308</v>
      </c>
      <c r="G41" s="25">
        <v>295</v>
      </c>
      <c r="H41" s="25">
        <v>130</v>
      </c>
      <c r="I41" s="24">
        <v>0.11494252873563218</v>
      </c>
      <c r="J41" s="24">
        <v>0.15131578947368421</v>
      </c>
      <c r="K41" s="24">
        <v>3.7203947368421053</v>
      </c>
    </row>
    <row r="42" spans="1:11" hidden="1" x14ac:dyDescent="0.2">
      <c r="A42" s="22" t="s">
        <v>68</v>
      </c>
      <c r="B42" s="23">
        <v>1149</v>
      </c>
      <c r="C42" s="25">
        <v>623</v>
      </c>
      <c r="D42" s="25">
        <v>457</v>
      </c>
      <c r="E42" s="25">
        <v>398</v>
      </c>
      <c r="F42" s="25">
        <v>298</v>
      </c>
      <c r="G42" s="25">
        <v>279</v>
      </c>
      <c r="H42" s="25">
        <v>127</v>
      </c>
      <c r="I42" s="24">
        <v>0.11053089643167972</v>
      </c>
      <c r="J42" s="24">
        <v>0.13284132841328414</v>
      </c>
      <c r="K42" s="24">
        <v>4.2398523985239853</v>
      </c>
    </row>
    <row r="43" spans="1:11" x14ac:dyDescent="0.2">
      <c r="A43" s="22" t="s">
        <v>492</v>
      </c>
      <c r="B43" s="25">
        <v>676</v>
      </c>
      <c r="C43" s="25">
        <v>518</v>
      </c>
      <c r="D43" s="25">
        <v>338</v>
      </c>
      <c r="E43" s="25">
        <v>295</v>
      </c>
      <c r="F43" s="25">
        <v>254</v>
      </c>
      <c r="G43" s="25">
        <v>247</v>
      </c>
      <c r="H43" s="25">
        <v>127</v>
      </c>
      <c r="I43" s="24">
        <v>0.18786982248520709</v>
      </c>
      <c r="J43" s="24">
        <v>0.16646919431279622</v>
      </c>
      <c r="K43" s="24">
        <v>0.40047393364928913</v>
      </c>
    </row>
    <row r="44" spans="1:11" x14ac:dyDescent="0.2">
      <c r="A44" s="22" t="s">
        <v>602</v>
      </c>
      <c r="B44" s="25">
        <v>491</v>
      </c>
      <c r="C44" s="25">
        <v>399</v>
      </c>
      <c r="D44" s="25">
        <v>316</v>
      </c>
      <c r="E44" s="25">
        <v>277</v>
      </c>
      <c r="F44" s="25">
        <v>228</v>
      </c>
      <c r="G44" s="25">
        <v>214</v>
      </c>
      <c r="H44" s="25">
        <v>125</v>
      </c>
      <c r="I44" s="24">
        <v>0.25458248472505091</v>
      </c>
      <c r="J44" s="24">
        <v>0.20689655172413793</v>
      </c>
      <c r="K44" s="24">
        <v>1.8812260536398469</v>
      </c>
    </row>
    <row r="45" spans="1:11" x14ac:dyDescent="0.2">
      <c r="A45" s="22" t="s">
        <v>452</v>
      </c>
      <c r="B45" s="25">
        <v>600</v>
      </c>
      <c r="C45" s="25">
        <v>483</v>
      </c>
      <c r="D45" s="25">
        <v>396</v>
      </c>
      <c r="E45" s="25">
        <v>361</v>
      </c>
      <c r="F45" s="25">
        <v>290</v>
      </c>
      <c r="G45" s="25">
        <v>263</v>
      </c>
      <c r="H45" s="25">
        <v>125</v>
      </c>
      <c r="I45" s="24">
        <v>0.20833333333333334</v>
      </c>
      <c r="J45" s="24">
        <v>0.16312056737588654</v>
      </c>
      <c r="K45" s="24">
        <v>1.4184397163120568</v>
      </c>
    </row>
    <row r="46" spans="1:11" x14ac:dyDescent="0.2">
      <c r="A46" s="22" t="s">
        <v>417</v>
      </c>
      <c r="B46" s="25">
        <v>501</v>
      </c>
      <c r="C46" s="25">
        <v>354</v>
      </c>
      <c r="D46" s="25">
        <v>296</v>
      </c>
      <c r="E46" s="25">
        <v>272</v>
      </c>
      <c r="F46" s="25">
        <v>244</v>
      </c>
      <c r="G46" s="25">
        <v>235</v>
      </c>
      <c r="H46" s="25">
        <v>125</v>
      </c>
      <c r="I46" s="24">
        <v>0.249500998003992</v>
      </c>
      <c r="J46" s="24">
        <v>0.23263506063947079</v>
      </c>
      <c r="K46" s="24">
        <v>0.55237045203969126</v>
      </c>
    </row>
    <row r="47" spans="1:11" hidden="1" x14ac:dyDescent="0.2">
      <c r="A47" s="22" t="s">
        <v>103</v>
      </c>
      <c r="B47" s="23">
        <v>1455</v>
      </c>
      <c r="C47" s="25">
        <v>761</v>
      </c>
      <c r="D47" s="25">
        <v>550</v>
      </c>
      <c r="E47" s="25">
        <v>434</v>
      </c>
      <c r="F47" s="25">
        <v>347</v>
      </c>
      <c r="G47" s="25">
        <v>328</v>
      </c>
      <c r="H47" s="25">
        <v>116</v>
      </c>
      <c r="I47" s="24">
        <v>7.9725085910652915E-2</v>
      </c>
      <c r="J47" s="24" t="s">
        <v>1233</v>
      </c>
      <c r="K47" s="24">
        <v>0</v>
      </c>
    </row>
    <row r="48" spans="1:11" x14ac:dyDescent="0.2">
      <c r="A48" s="22" t="s">
        <v>558</v>
      </c>
      <c r="B48" s="25">
        <v>631</v>
      </c>
      <c r="C48" s="25">
        <v>499</v>
      </c>
      <c r="D48" s="25">
        <v>343</v>
      </c>
      <c r="E48" s="25">
        <v>305</v>
      </c>
      <c r="F48" s="25">
        <v>258</v>
      </c>
      <c r="G48" s="25">
        <v>244</v>
      </c>
      <c r="H48" s="25">
        <v>112</v>
      </c>
      <c r="I48" s="24">
        <v>0.1774960380348653</v>
      </c>
      <c r="J48" s="24" t="s">
        <v>1233</v>
      </c>
      <c r="K48" s="24">
        <v>0</v>
      </c>
    </row>
    <row r="49" spans="1:11" hidden="1" x14ac:dyDescent="0.2">
      <c r="A49" s="22" t="s">
        <v>157</v>
      </c>
      <c r="B49" s="23">
        <v>1503</v>
      </c>
      <c r="C49" s="25">
        <v>665</v>
      </c>
      <c r="D49" s="25">
        <v>460</v>
      </c>
      <c r="E49" s="25">
        <v>388</v>
      </c>
      <c r="F49" s="25">
        <v>306</v>
      </c>
      <c r="G49" s="25">
        <v>288</v>
      </c>
      <c r="H49" s="25">
        <v>109</v>
      </c>
      <c r="I49" s="24">
        <v>7.2521623419827014E-2</v>
      </c>
      <c r="J49" s="24">
        <v>7.73542600896861E-2</v>
      </c>
      <c r="K49" s="24">
        <v>1.6849775784753362</v>
      </c>
    </row>
    <row r="50" spans="1:11" hidden="1" x14ac:dyDescent="0.2">
      <c r="A50" s="22" t="s">
        <v>105</v>
      </c>
      <c r="B50" s="25">
        <v>880</v>
      </c>
      <c r="C50" s="25">
        <v>471</v>
      </c>
      <c r="D50" s="25">
        <v>349</v>
      </c>
      <c r="E50" s="25">
        <v>309</v>
      </c>
      <c r="F50" s="25">
        <v>249</v>
      </c>
      <c r="G50" s="25">
        <v>228</v>
      </c>
      <c r="H50" s="25">
        <v>99</v>
      </c>
      <c r="I50" s="24">
        <v>0.1125</v>
      </c>
      <c r="J50" s="24" t="s">
        <v>1233</v>
      </c>
      <c r="K50" s="24">
        <v>0</v>
      </c>
    </row>
    <row r="51" spans="1:11" hidden="1" x14ac:dyDescent="0.2">
      <c r="A51" s="22" t="s">
        <v>718</v>
      </c>
      <c r="B51" s="25">
        <v>904</v>
      </c>
      <c r="C51" s="25">
        <v>667</v>
      </c>
      <c r="D51" s="25">
        <v>415</v>
      </c>
      <c r="E51" s="25">
        <v>342</v>
      </c>
      <c r="F51" s="25">
        <v>264</v>
      </c>
      <c r="G51" s="25">
        <v>252</v>
      </c>
      <c r="H51" s="25">
        <v>98</v>
      </c>
      <c r="I51" s="24">
        <v>0.1084070796460177</v>
      </c>
      <c r="J51" s="24">
        <v>8.6474501108647447E-2</v>
      </c>
      <c r="K51" s="24">
        <v>2.0044345898004434</v>
      </c>
    </row>
    <row r="52" spans="1:11" hidden="1" x14ac:dyDescent="0.2">
      <c r="A52" s="22" t="s">
        <v>107</v>
      </c>
      <c r="B52" s="23">
        <v>1027</v>
      </c>
      <c r="C52" s="25">
        <v>484</v>
      </c>
      <c r="D52" s="25">
        <v>356</v>
      </c>
      <c r="E52" s="25">
        <v>298</v>
      </c>
      <c r="F52" s="25">
        <v>210</v>
      </c>
      <c r="G52" s="25">
        <v>190</v>
      </c>
      <c r="H52" s="25">
        <v>97</v>
      </c>
      <c r="I52" s="24">
        <v>9.4449853943524828E-2</v>
      </c>
      <c r="J52" s="24">
        <v>7.9102715466351836E-2</v>
      </c>
      <c r="K52" s="24">
        <v>1.2125147579693034</v>
      </c>
    </row>
    <row r="53" spans="1:11" x14ac:dyDescent="0.2">
      <c r="A53" s="22" t="s">
        <v>155</v>
      </c>
      <c r="B53" s="25">
        <v>774</v>
      </c>
      <c r="C53" s="25">
        <v>489</v>
      </c>
      <c r="D53" s="25">
        <v>346</v>
      </c>
      <c r="E53" s="25">
        <v>310</v>
      </c>
      <c r="F53" s="25">
        <v>255</v>
      </c>
      <c r="G53" s="25">
        <v>242</v>
      </c>
      <c r="H53" s="25">
        <v>97</v>
      </c>
      <c r="I53" s="24">
        <v>0.12532299741602068</v>
      </c>
      <c r="J53" s="24">
        <v>0.11352657004830918</v>
      </c>
      <c r="K53" s="24">
        <v>1.8695652173913044</v>
      </c>
    </row>
    <row r="54" spans="1:11" hidden="1" x14ac:dyDescent="0.2">
      <c r="A54" s="22" t="s">
        <v>147</v>
      </c>
      <c r="B54" s="23">
        <v>1620</v>
      </c>
      <c r="C54" s="25">
        <v>744</v>
      </c>
      <c r="D54" s="25">
        <v>497</v>
      </c>
      <c r="E54" s="25">
        <v>428</v>
      </c>
      <c r="F54" s="25">
        <v>328</v>
      </c>
      <c r="G54" s="25">
        <v>315</v>
      </c>
      <c r="H54" s="25">
        <v>95</v>
      </c>
      <c r="I54" s="24">
        <v>5.8641975308641972E-2</v>
      </c>
      <c r="J54" s="24">
        <v>5.5031446540880505E-2</v>
      </c>
      <c r="K54" s="24">
        <v>2.5471698113207548</v>
      </c>
    </row>
    <row r="55" spans="1:11" x14ac:dyDescent="0.2">
      <c r="A55" s="22" t="s">
        <v>616</v>
      </c>
      <c r="B55" s="25">
        <v>577</v>
      </c>
      <c r="C55" s="25">
        <v>402</v>
      </c>
      <c r="D55" s="25">
        <v>255</v>
      </c>
      <c r="E55" s="25">
        <v>228</v>
      </c>
      <c r="F55" s="25">
        <v>191</v>
      </c>
      <c r="G55" s="25">
        <v>177</v>
      </c>
      <c r="H55" s="25">
        <v>95</v>
      </c>
      <c r="I55" s="24">
        <v>0.16464471403812825</v>
      </c>
      <c r="J55" s="24">
        <v>0.20967741935483872</v>
      </c>
      <c r="K55" s="24">
        <v>2.3266129032258065</v>
      </c>
    </row>
    <row r="56" spans="1:11" hidden="1" x14ac:dyDescent="0.2">
      <c r="A56" s="22" t="s">
        <v>113</v>
      </c>
      <c r="B56" s="25">
        <v>926</v>
      </c>
      <c r="C56" s="25">
        <v>515</v>
      </c>
      <c r="D56" s="25">
        <v>371</v>
      </c>
      <c r="E56" s="25">
        <v>314</v>
      </c>
      <c r="F56" s="25">
        <v>247</v>
      </c>
      <c r="G56" s="25">
        <v>227</v>
      </c>
      <c r="H56" s="25">
        <v>92</v>
      </c>
      <c r="I56" s="24">
        <v>9.9352051835853133E-2</v>
      </c>
      <c r="J56" s="24">
        <v>0.10942760942760943</v>
      </c>
      <c r="K56" s="24">
        <v>1.5589225589225588</v>
      </c>
    </row>
    <row r="57" spans="1:11" hidden="1" x14ac:dyDescent="0.2">
      <c r="A57" s="22" t="s">
        <v>119</v>
      </c>
      <c r="B57" s="23">
        <v>1357</v>
      </c>
      <c r="C57" s="25">
        <v>575</v>
      </c>
      <c r="D57" s="25">
        <v>337</v>
      </c>
      <c r="E57" s="25">
        <v>287</v>
      </c>
      <c r="F57" s="25">
        <v>233</v>
      </c>
      <c r="G57" s="25">
        <v>219</v>
      </c>
      <c r="H57" s="25">
        <v>91</v>
      </c>
      <c r="I57" s="24">
        <v>6.7059690493736182E-2</v>
      </c>
      <c r="J57" s="24" t="s">
        <v>1233</v>
      </c>
      <c r="K57" s="24">
        <v>0</v>
      </c>
    </row>
    <row r="58" spans="1:11" hidden="1" x14ac:dyDescent="0.2">
      <c r="A58" s="22" t="s">
        <v>136</v>
      </c>
      <c r="B58" s="25">
        <v>781</v>
      </c>
      <c r="C58" s="25">
        <v>419</v>
      </c>
      <c r="D58" s="25">
        <v>298</v>
      </c>
      <c r="E58" s="25">
        <v>256</v>
      </c>
      <c r="F58" s="25">
        <v>203</v>
      </c>
      <c r="G58" s="25">
        <v>193</v>
      </c>
      <c r="H58" s="25">
        <v>91</v>
      </c>
      <c r="I58" s="24">
        <v>0.11651728553137004</v>
      </c>
      <c r="J58" s="24">
        <v>0.13761467889908258</v>
      </c>
      <c r="K58" s="24">
        <v>2.3883792048929662</v>
      </c>
    </row>
    <row r="59" spans="1:11" x14ac:dyDescent="0.2">
      <c r="A59" s="22" t="s">
        <v>179</v>
      </c>
      <c r="B59" s="25">
        <v>603</v>
      </c>
      <c r="C59" s="25">
        <v>469</v>
      </c>
      <c r="D59" s="25">
        <v>370</v>
      </c>
      <c r="E59" s="25">
        <v>292</v>
      </c>
      <c r="F59" s="25">
        <v>219</v>
      </c>
      <c r="G59" s="25">
        <v>197</v>
      </c>
      <c r="H59" s="25">
        <v>89</v>
      </c>
      <c r="I59" s="24">
        <v>0.14759535655058043</v>
      </c>
      <c r="J59" s="24">
        <v>0.13285457809694792</v>
      </c>
      <c r="K59" s="24">
        <v>1.0825852782764811</v>
      </c>
    </row>
    <row r="60" spans="1:11" x14ac:dyDescent="0.2">
      <c r="A60" s="22" t="s">
        <v>716</v>
      </c>
      <c r="B60" s="25">
        <v>392</v>
      </c>
      <c r="C60" s="25">
        <v>318</v>
      </c>
      <c r="D60" s="25">
        <v>262</v>
      </c>
      <c r="E60" s="25">
        <v>216</v>
      </c>
      <c r="F60" s="25">
        <v>181</v>
      </c>
      <c r="G60" s="25">
        <v>173</v>
      </c>
      <c r="H60" s="25">
        <v>89</v>
      </c>
      <c r="I60" s="24">
        <v>0.22704081632653061</v>
      </c>
      <c r="J60" s="24">
        <v>0.1440677966101695</v>
      </c>
      <c r="K60" s="24">
        <v>3.3220338983050848</v>
      </c>
    </row>
    <row r="61" spans="1:11" x14ac:dyDescent="0.2">
      <c r="A61" s="22" t="s">
        <v>171</v>
      </c>
      <c r="B61" s="25">
        <v>507</v>
      </c>
      <c r="C61" s="25">
        <v>335</v>
      </c>
      <c r="D61" s="25">
        <v>267</v>
      </c>
      <c r="E61" s="25">
        <v>221</v>
      </c>
      <c r="F61" s="25">
        <v>170</v>
      </c>
      <c r="G61" s="25">
        <v>157</v>
      </c>
      <c r="H61" s="25">
        <v>82</v>
      </c>
      <c r="I61" s="24">
        <v>0.16173570019723865</v>
      </c>
      <c r="J61" s="24">
        <v>0.14572864321608039</v>
      </c>
      <c r="K61" s="24">
        <v>2.5477386934673367</v>
      </c>
    </row>
    <row r="62" spans="1:11" hidden="1" x14ac:dyDescent="0.2">
      <c r="A62" s="22" t="s">
        <v>193</v>
      </c>
      <c r="B62" s="25">
        <v>727</v>
      </c>
      <c r="C62" s="25">
        <v>553</v>
      </c>
      <c r="D62" s="25">
        <v>352</v>
      </c>
      <c r="E62" s="25">
        <v>305</v>
      </c>
      <c r="F62" s="25">
        <v>239</v>
      </c>
      <c r="G62" s="25">
        <v>226</v>
      </c>
      <c r="H62" s="25">
        <v>81</v>
      </c>
      <c r="I62" s="24">
        <v>0.11141678129298486</v>
      </c>
      <c r="J62" s="24">
        <v>0.13300492610837439</v>
      </c>
      <c r="K62" s="24">
        <v>3.5812807881773399</v>
      </c>
    </row>
    <row r="63" spans="1:11" hidden="1" x14ac:dyDescent="0.2">
      <c r="A63" s="22" t="s">
        <v>211</v>
      </c>
      <c r="B63" s="25">
        <v>940</v>
      </c>
      <c r="C63" s="25">
        <v>478</v>
      </c>
      <c r="D63" s="25">
        <v>329</v>
      </c>
      <c r="E63" s="25">
        <v>285</v>
      </c>
      <c r="F63" s="25">
        <v>234</v>
      </c>
      <c r="G63" s="25">
        <v>219</v>
      </c>
      <c r="H63" s="25">
        <v>81</v>
      </c>
      <c r="I63" s="24">
        <v>8.6170212765957446E-2</v>
      </c>
      <c r="J63" s="24">
        <v>7.8911564625850333E-2</v>
      </c>
      <c r="K63" s="24">
        <v>1.2789115646258504</v>
      </c>
    </row>
    <row r="64" spans="1:11" hidden="1" x14ac:dyDescent="0.2">
      <c r="A64" s="22" t="s">
        <v>712</v>
      </c>
      <c r="B64" s="25">
        <v>774</v>
      </c>
      <c r="C64" s="25">
        <v>547</v>
      </c>
      <c r="D64" s="25">
        <v>330</v>
      </c>
      <c r="E64" s="25">
        <v>282</v>
      </c>
      <c r="F64" s="25">
        <v>227</v>
      </c>
      <c r="G64" s="25">
        <v>214</v>
      </c>
      <c r="H64" s="25">
        <v>81</v>
      </c>
      <c r="I64" s="24">
        <v>0.10465116279069768</v>
      </c>
      <c r="J64" s="24">
        <v>9.0090090090090086E-2</v>
      </c>
      <c r="K64" s="24">
        <v>2.3243243243243241</v>
      </c>
    </row>
    <row r="65" spans="1:11" hidden="1" x14ac:dyDescent="0.2">
      <c r="A65" s="22" t="s">
        <v>181</v>
      </c>
      <c r="B65" s="25">
        <v>671</v>
      </c>
      <c r="C65" s="25">
        <v>507</v>
      </c>
      <c r="D65" s="25">
        <v>289</v>
      </c>
      <c r="E65" s="25">
        <v>251</v>
      </c>
      <c r="F65" s="25">
        <v>194</v>
      </c>
      <c r="G65" s="25">
        <v>186</v>
      </c>
      <c r="H65" s="25">
        <v>80</v>
      </c>
      <c r="I65" s="24">
        <v>0.11922503725782414</v>
      </c>
      <c r="J65" s="24">
        <v>0.20998278829604131</v>
      </c>
      <c r="K65" s="24">
        <v>1.1549053356282273</v>
      </c>
    </row>
    <row r="66" spans="1:11" x14ac:dyDescent="0.2">
      <c r="A66" s="22" t="s">
        <v>85</v>
      </c>
      <c r="B66" s="25">
        <v>502</v>
      </c>
      <c r="C66" s="25">
        <v>379</v>
      </c>
      <c r="D66" s="25">
        <v>292</v>
      </c>
      <c r="E66" s="25">
        <v>252</v>
      </c>
      <c r="F66" s="25">
        <v>174</v>
      </c>
      <c r="G66" s="25">
        <v>158</v>
      </c>
      <c r="H66" s="25">
        <v>79</v>
      </c>
      <c r="I66" s="24">
        <v>0.15737051792828685</v>
      </c>
      <c r="J66" s="24">
        <v>0.12895377128953772</v>
      </c>
      <c r="K66" s="24">
        <v>1.221411192214112</v>
      </c>
    </row>
    <row r="67" spans="1:11" x14ac:dyDescent="0.2">
      <c r="A67" s="22" t="s">
        <v>524</v>
      </c>
      <c r="B67" s="25">
        <v>577</v>
      </c>
      <c r="C67" s="25">
        <v>445</v>
      </c>
      <c r="D67" s="25">
        <v>336</v>
      </c>
      <c r="E67" s="25">
        <v>291</v>
      </c>
      <c r="F67" s="25">
        <v>222</v>
      </c>
      <c r="G67" s="25">
        <v>215</v>
      </c>
      <c r="H67" s="25">
        <v>78</v>
      </c>
      <c r="I67" s="24">
        <v>0.13518197573656845</v>
      </c>
      <c r="J67" s="24">
        <v>0.15848406546080965</v>
      </c>
      <c r="K67" s="24">
        <v>0.49698535745047373</v>
      </c>
    </row>
    <row r="68" spans="1:11" hidden="1" x14ac:dyDescent="0.2">
      <c r="A68" s="22" t="s">
        <v>91</v>
      </c>
      <c r="B68" s="23">
        <v>1862</v>
      </c>
      <c r="C68" s="23">
        <v>1495</v>
      </c>
      <c r="D68" s="25">
        <v>974</v>
      </c>
      <c r="E68" s="25">
        <v>820</v>
      </c>
      <c r="F68" s="25">
        <v>641</v>
      </c>
      <c r="G68" s="25">
        <v>609</v>
      </c>
      <c r="H68" s="25">
        <v>74</v>
      </c>
      <c r="I68" s="24">
        <v>3.9742212674543503E-2</v>
      </c>
      <c r="J68" s="24">
        <v>4.803202134756504E-2</v>
      </c>
      <c r="K68" s="24">
        <v>1.2421614409606405</v>
      </c>
    </row>
    <row r="69" spans="1:11" hidden="1" x14ac:dyDescent="0.2">
      <c r="A69" s="22" t="s">
        <v>306</v>
      </c>
      <c r="B69" s="25">
        <v>622</v>
      </c>
      <c r="C69" s="25">
        <v>540</v>
      </c>
      <c r="D69" s="25">
        <v>445</v>
      </c>
      <c r="E69" s="25">
        <v>383</v>
      </c>
      <c r="F69" s="25">
        <v>294</v>
      </c>
      <c r="G69" s="25">
        <v>283</v>
      </c>
      <c r="H69" s="25">
        <v>74</v>
      </c>
      <c r="I69" s="24">
        <v>0.11897106109324759</v>
      </c>
      <c r="J69" s="24" t="s">
        <v>1233</v>
      </c>
      <c r="K69" s="24">
        <v>0</v>
      </c>
    </row>
    <row r="70" spans="1:11" hidden="1" x14ac:dyDescent="0.2">
      <c r="A70" s="22" t="s">
        <v>93</v>
      </c>
      <c r="B70" s="25">
        <v>612</v>
      </c>
      <c r="C70" s="25">
        <v>408</v>
      </c>
      <c r="D70" s="25">
        <v>290</v>
      </c>
      <c r="E70" s="25">
        <v>245</v>
      </c>
      <c r="F70" s="25">
        <v>205</v>
      </c>
      <c r="G70" s="25">
        <v>196</v>
      </c>
      <c r="H70" s="25">
        <v>73</v>
      </c>
      <c r="I70" s="24">
        <v>0.11928104575163399</v>
      </c>
      <c r="J70" s="24">
        <v>0.12633451957295375</v>
      </c>
      <c r="K70" s="24">
        <v>1.0889679715302492</v>
      </c>
    </row>
    <row r="71" spans="1:11" x14ac:dyDescent="0.2">
      <c r="A71" s="22" t="s">
        <v>496</v>
      </c>
      <c r="B71" s="25">
        <v>346</v>
      </c>
      <c r="C71" s="25">
        <v>282</v>
      </c>
      <c r="D71" s="25">
        <v>213</v>
      </c>
      <c r="E71" s="25">
        <v>185</v>
      </c>
      <c r="F71" s="25">
        <v>155</v>
      </c>
      <c r="G71" s="25">
        <v>150</v>
      </c>
      <c r="H71" s="25">
        <v>73</v>
      </c>
      <c r="I71" s="24">
        <v>0.21098265895953758</v>
      </c>
      <c r="J71" s="24" t="s">
        <v>1233</v>
      </c>
      <c r="K71" s="24">
        <v>0</v>
      </c>
    </row>
    <row r="72" spans="1:11" hidden="1" x14ac:dyDescent="0.2">
      <c r="A72" s="22" t="s">
        <v>117</v>
      </c>
      <c r="B72" s="25">
        <v>780</v>
      </c>
      <c r="C72" s="25">
        <v>436</v>
      </c>
      <c r="D72" s="25">
        <v>317</v>
      </c>
      <c r="E72" s="25">
        <v>278</v>
      </c>
      <c r="F72" s="25">
        <v>218</v>
      </c>
      <c r="G72" s="25">
        <v>213</v>
      </c>
      <c r="H72" s="25">
        <v>72</v>
      </c>
      <c r="I72" s="24">
        <v>9.2307692307692313E-2</v>
      </c>
      <c r="J72" s="24" t="s">
        <v>1233</v>
      </c>
      <c r="K72" s="24">
        <v>0</v>
      </c>
    </row>
    <row r="73" spans="1:11" x14ac:dyDescent="0.2">
      <c r="A73" s="22" t="s">
        <v>614</v>
      </c>
      <c r="B73" s="25">
        <v>414</v>
      </c>
      <c r="C73" s="25">
        <v>312</v>
      </c>
      <c r="D73" s="25">
        <v>239</v>
      </c>
      <c r="E73" s="25">
        <v>218</v>
      </c>
      <c r="F73" s="25">
        <v>193</v>
      </c>
      <c r="G73" s="25">
        <v>180</v>
      </c>
      <c r="H73" s="25">
        <v>72</v>
      </c>
      <c r="I73" s="24">
        <v>0.17391304347826086</v>
      </c>
      <c r="J73" s="24">
        <v>0.20884520884520885</v>
      </c>
      <c r="K73" s="24">
        <v>1.0171990171990173</v>
      </c>
    </row>
    <row r="74" spans="1:11" x14ac:dyDescent="0.2">
      <c r="A74" s="22" t="s">
        <v>385</v>
      </c>
      <c r="B74" s="25">
        <v>424</v>
      </c>
      <c r="C74" s="25">
        <v>262</v>
      </c>
      <c r="D74" s="25">
        <v>193</v>
      </c>
      <c r="E74" s="25">
        <v>165</v>
      </c>
      <c r="F74" s="25">
        <v>139</v>
      </c>
      <c r="G74" s="25">
        <v>134</v>
      </c>
      <c r="H74" s="25">
        <v>70</v>
      </c>
      <c r="I74" s="24">
        <v>0.1650943396226415</v>
      </c>
      <c r="J74" s="24">
        <v>0.14225941422594143</v>
      </c>
      <c r="K74" s="24">
        <v>1.7740585774058577</v>
      </c>
    </row>
    <row r="75" spans="1:11" x14ac:dyDescent="0.2">
      <c r="A75" s="22" t="s">
        <v>598</v>
      </c>
      <c r="B75" s="25">
        <v>437</v>
      </c>
      <c r="C75" s="25">
        <v>315</v>
      </c>
      <c r="D75" s="25">
        <v>242</v>
      </c>
      <c r="E75" s="25">
        <v>182</v>
      </c>
      <c r="F75" s="25">
        <v>121</v>
      </c>
      <c r="G75" s="25">
        <v>117</v>
      </c>
      <c r="H75" s="25">
        <v>70</v>
      </c>
      <c r="I75" s="24">
        <v>0.16018306636155608</v>
      </c>
      <c r="J75" s="24">
        <v>0.20540540540540542</v>
      </c>
      <c r="K75" s="24">
        <v>2.362162162162162</v>
      </c>
    </row>
    <row r="76" spans="1:11" x14ac:dyDescent="0.2">
      <c r="A76" s="22" t="s">
        <v>600</v>
      </c>
      <c r="B76" s="25">
        <v>317</v>
      </c>
      <c r="C76" s="25">
        <v>229</v>
      </c>
      <c r="D76" s="25">
        <v>164</v>
      </c>
      <c r="E76" s="25">
        <v>144</v>
      </c>
      <c r="F76" s="25">
        <v>122</v>
      </c>
      <c r="G76" s="25">
        <v>119</v>
      </c>
      <c r="H76" s="25">
        <v>66</v>
      </c>
      <c r="I76" s="24">
        <v>0.20820189274447951</v>
      </c>
      <c r="J76" s="24">
        <v>0.15384615384615385</v>
      </c>
      <c r="K76" s="24">
        <v>2.0320512820512819</v>
      </c>
    </row>
    <row r="77" spans="1:11" hidden="1" x14ac:dyDescent="0.2">
      <c r="A77" s="22" t="s">
        <v>87</v>
      </c>
      <c r="B77" s="25">
        <v>595</v>
      </c>
      <c r="C77" s="25">
        <v>485</v>
      </c>
      <c r="D77" s="25">
        <v>173</v>
      </c>
      <c r="E77" s="25">
        <v>151</v>
      </c>
      <c r="F77" s="25">
        <v>119</v>
      </c>
      <c r="G77" s="25">
        <v>113</v>
      </c>
      <c r="H77" s="25">
        <v>64</v>
      </c>
      <c r="I77" s="24">
        <v>0.10756302521008404</v>
      </c>
      <c r="J77" s="24">
        <v>0.1900121802679659</v>
      </c>
      <c r="K77" s="24">
        <v>0.72472594397076739</v>
      </c>
    </row>
    <row r="78" spans="1:11" hidden="1" x14ac:dyDescent="0.2">
      <c r="A78" s="22" t="s">
        <v>111</v>
      </c>
      <c r="B78" s="25">
        <v>690</v>
      </c>
      <c r="C78" s="25">
        <v>378</v>
      </c>
      <c r="D78" s="25">
        <v>273</v>
      </c>
      <c r="E78" s="25">
        <v>249</v>
      </c>
      <c r="F78" s="25">
        <v>214</v>
      </c>
      <c r="G78" s="25">
        <v>204</v>
      </c>
      <c r="H78" s="25">
        <v>62</v>
      </c>
      <c r="I78" s="24">
        <v>8.9855072463768115E-2</v>
      </c>
      <c r="J78" s="24">
        <v>9.2063492063492069E-2</v>
      </c>
      <c r="K78" s="24">
        <v>2.1904761904761907</v>
      </c>
    </row>
    <row r="79" spans="1:11" x14ac:dyDescent="0.2">
      <c r="A79" s="22" t="s">
        <v>322</v>
      </c>
      <c r="B79" s="25">
        <v>435</v>
      </c>
      <c r="C79" s="25">
        <v>355</v>
      </c>
      <c r="D79" s="25">
        <v>300</v>
      </c>
      <c r="E79" s="25">
        <v>267</v>
      </c>
      <c r="F79" s="25">
        <v>200</v>
      </c>
      <c r="G79" s="25">
        <v>193</v>
      </c>
      <c r="H79" s="25">
        <v>62</v>
      </c>
      <c r="I79" s="24">
        <v>0.14252873563218391</v>
      </c>
      <c r="J79" s="24" t="s">
        <v>1233</v>
      </c>
      <c r="K79" s="24">
        <v>0</v>
      </c>
    </row>
    <row r="80" spans="1:11" x14ac:dyDescent="0.2">
      <c r="A80" s="22" t="s">
        <v>762</v>
      </c>
      <c r="B80" s="25">
        <v>502</v>
      </c>
      <c r="C80" s="25">
        <v>319</v>
      </c>
      <c r="D80" s="25">
        <v>240</v>
      </c>
      <c r="E80" s="25">
        <v>211</v>
      </c>
      <c r="F80" s="25">
        <v>165</v>
      </c>
      <c r="G80" s="25">
        <v>154</v>
      </c>
      <c r="H80" s="25">
        <v>62</v>
      </c>
      <c r="I80" s="24">
        <v>0.12350597609561753</v>
      </c>
      <c r="J80" s="24" t="s">
        <v>1233</v>
      </c>
      <c r="K80" s="24">
        <v>0</v>
      </c>
    </row>
    <row r="81" spans="1:11" hidden="1" x14ac:dyDescent="0.2">
      <c r="A81" s="22" t="s">
        <v>518</v>
      </c>
      <c r="B81" s="25">
        <v>726</v>
      </c>
      <c r="C81" s="25">
        <v>516</v>
      </c>
      <c r="D81" s="25">
        <v>311</v>
      </c>
      <c r="E81" s="25">
        <v>243</v>
      </c>
      <c r="F81" s="25">
        <v>180</v>
      </c>
      <c r="G81" s="25">
        <v>174</v>
      </c>
      <c r="H81" s="25">
        <v>60</v>
      </c>
      <c r="I81" s="24">
        <v>8.2644628099173556E-2</v>
      </c>
      <c r="J81" s="24">
        <v>0.12340216322517207</v>
      </c>
      <c r="K81" s="24">
        <v>0.35693215339233036</v>
      </c>
    </row>
    <row r="82" spans="1:11" hidden="1" x14ac:dyDescent="0.2">
      <c r="A82" s="22" t="s">
        <v>744</v>
      </c>
      <c r="B82" s="25">
        <v>500</v>
      </c>
      <c r="C82" s="25">
        <v>281</v>
      </c>
      <c r="D82" s="25">
        <v>229</v>
      </c>
      <c r="E82" s="25">
        <v>186</v>
      </c>
      <c r="F82" s="25">
        <v>139</v>
      </c>
      <c r="G82" s="25">
        <v>129</v>
      </c>
      <c r="H82" s="25">
        <v>59</v>
      </c>
      <c r="I82" s="24">
        <v>0.11799999999999999</v>
      </c>
      <c r="J82" s="24" t="s">
        <v>1233</v>
      </c>
      <c r="K82" s="24">
        <v>0</v>
      </c>
    </row>
    <row r="83" spans="1:11" hidden="1" x14ac:dyDescent="0.2">
      <c r="A83" s="22" t="s">
        <v>201</v>
      </c>
      <c r="B83" s="25">
        <v>515</v>
      </c>
      <c r="C83" s="25">
        <v>417</v>
      </c>
      <c r="D83" s="25">
        <v>181</v>
      </c>
      <c r="E83" s="25">
        <v>147</v>
      </c>
      <c r="F83" s="25">
        <v>113</v>
      </c>
      <c r="G83" s="25">
        <v>107</v>
      </c>
      <c r="H83" s="25">
        <v>57</v>
      </c>
      <c r="I83" s="24">
        <v>0.11067961165048544</v>
      </c>
      <c r="J83" s="24" t="s">
        <v>1233</v>
      </c>
      <c r="K83" s="24">
        <v>0</v>
      </c>
    </row>
    <row r="84" spans="1:11" x14ac:dyDescent="0.2">
      <c r="A84" s="22" t="s">
        <v>304</v>
      </c>
      <c r="B84" s="25">
        <v>331</v>
      </c>
      <c r="C84" s="25">
        <v>215</v>
      </c>
      <c r="D84" s="25">
        <v>177</v>
      </c>
      <c r="E84" s="25">
        <v>148</v>
      </c>
      <c r="F84" s="25">
        <v>129</v>
      </c>
      <c r="G84" s="25">
        <v>122</v>
      </c>
      <c r="H84" s="25">
        <v>55</v>
      </c>
      <c r="I84" s="24">
        <v>0.16616314199395771</v>
      </c>
      <c r="J84" s="24">
        <v>0.13309352517985612</v>
      </c>
      <c r="K84" s="24">
        <v>1.1906474820143884</v>
      </c>
    </row>
    <row r="85" spans="1:11" x14ac:dyDescent="0.2">
      <c r="A85" s="22" t="s">
        <v>199</v>
      </c>
      <c r="B85" s="25">
        <v>407</v>
      </c>
      <c r="C85" s="25">
        <v>335</v>
      </c>
      <c r="D85" s="25">
        <v>218</v>
      </c>
      <c r="E85" s="25">
        <v>192</v>
      </c>
      <c r="F85" s="25">
        <v>158</v>
      </c>
      <c r="G85" s="25">
        <v>153</v>
      </c>
      <c r="H85" s="25">
        <v>55</v>
      </c>
      <c r="I85" s="24">
        <v>0.13513513513513514</v>
      </c>
      <c r="J85" s="24" t="s">
        <v>1233</v>
      </c>
      <c r="K85" s="24">
        <v>0</v>
      </c>
    </row>
    <row r="86" spans="1:11" x14ac:dyDescent="0.2">
      <c r="A86" s="22" t="s">
        <v>817</v>
      </c>
      <c r="B86" s="25">
        <v>419</v>
      </c>
      <c r="C86" s="25">
        <v>323</v>
      </c>
      <c r="D86" s="25">
        <v>245</v>
      </c>
      <c r="E86" s="25">
        <v>208</v>
      </c>
      <c r="F86" s="25">
        <v>148</v>
      </c>
      <c r="G86" s="25">
        <v>142</v>
      </c>
      <c r="H86" s="25">
        <v>55</v>
      </c>
      <c r="I86" s="24">
        <v>0.13126491646778043</v>
      </c>
      <c r="J86" s="24">
        <v>0.11428571428571428</v>
      </c>
      <c r="K86" s="24">
        <v>3.9904761904761905</v>
      </c>
    </row>
    <row r="87" spans="1:11" hidden="1" x14ac:dyDescent="0.2">
      <c r="A87" s="22" t="s">
        <v>209</v>
      </c>
      <c r="B87" s="25">
        <v>946</v>
      </c>
      <c r="C87" s="25">
        <v>326</v>
      </c>
      <c r="D87" s="25">
        <v>218</v>
      </c>
      <c r="E87" s="25">
        <v>191</v>
      </c>
      <c r="F87" s="25">
        <v>151</v>
      </c>
      <c r="G87" s="25">
        <v>148</v>
      </c>
      <c r="H87" s="25">
        <v>53</v>
      </c>
      <c r="I87" s="24">
        <v>5.6025369978858354E-2</v>
      </c>
      <c r="J87" s="24" t="s">
        <v>1233</v>
      </c>
      <c r="K87" s="24">
        <v>0</v>
      </c>
    </row>
    <row r="88" spans="1:11" x14ac:dyDescent="0.2">
      <c r="A88" s="22" t="s">
        <v>704</v>
      </c>
      <c r="B88" s="25">
        <v>396</v>
      </c>
      <c r="C88" s="25">
        <v>268</v>
      </c>
      <c r="D88" s="25">
        <v>153</v>
      </c>
      <c r="E88" s="25">
        <v>126</v>
      </c>
      <c r="F88" s="25">
        <v>105</v>
      </c>
      <c r="G88" s="25">
        <v>95</v>
      </c>
      <c r="H88" s="25">
        <v>52</v>
      </c>
      <c r="I88" s="24">
        <v>0.13131313131313133</v>
      </c>
      <c r="J88" s="24">
        <v>0.10909090909090909</v>
      </c>
      <c r="K88" s="24">
        <v>1.2</v>
      </c>
    </row>
    <row r="89" spans="1:11" x14ac:dyDescent="0.2">
      <c r="A89" s="22" t="s">
        <v>596</v>
      </c>
      <c r="B89" s="25">
        <v>220</v>
      </c>
      <c r="C89" s="25">
        <v>157</v>
      </c>
      <c r="D89" s="25">
        <v>116</v>
      </c>
      <c r="E89" s="25">
        <v>108</v>
      </c>
      <c r="F89" s="25">
        <v>92</v>
      </c>
      <c r="G89" s="25">
        <v>88</v>
      </c>
      <c r="H89" s="25">
        <v>51</v>
      </c>
      <c r="I89" s="24">
        <v>0.23181818181818181</v>
      </c>
      <c r="J89" s="24">
        <v>0.25142857142857145</v>
      </c>
      <c r="K89" s="24">
        <v>1.2571428571428571</v>
      </c>
    </row>
    <row r="90" spans="1:11" hidden="1" x14ac:dyDescent="0.2">
      <c r="A90" s="22" t="s">
        <v>189</v>
      </c>
      <c r="B90" s="25">
        <v>451</v>
      </c>
      <c r="C90" s="25">
        <v>340</v>
      </c>
      <c r="D90" s="25">
        <v>263</v>
      </c>
      <c r="E90" s="25">
        <v>210</v>
      </c>
      <c r="F90" s="25">
        <v>167</v>
      </c>
      <c r="G90" s="25">
        <v>161</v>
      </c>
      <c r="H90" s="25">
        <v>50</v>
      </c>
      <c r="I90" s="24">
        <v>0.11086474501108648</v>
      </c>
      <c r="J90" s="24">
        <v>0.08</v>
      </c>
      <c r="K90" s="24">
        <v>3.6080000000000001</v>
      </c>
    </row>
    <row r="91" spans="1:11" hidden="1" x14ac:dyDescent="0.2">
      <c r="A91" s="22" t="s">
        <v>746</v>
      </c>
      <c r="B91" s="25">
        <v>638</v>
      </c>
      <c r="C91" s="25">
        <v>269</v>
      </c>
      <c r="D91" s="25">
        <v>175</v>
      </c>
      <c r="E91" s="25">
        <v>154</v>
      </c>
      <c r="F91" s="25">
        <v>123</v>
      </c>
      <c r="G91" s="25">
        <v>117</v>
      </c>
      <c r="H91" s="25">
        <v>50</v>
      </c>
      <c r="I91" s="24">
        <v>7.8369905956112859E-2</v>
      </c>
      <c r="J91" s="24">
        <v>7.5566750629722929E-2</v>
      </c>
      <c r="K91" s="24">
        <v>1.6070528967254407</v>
      </c>
    </row>
    <row r="92" spans="1:11" hidden="1" x14ac:dyDescent="0.2">
      <c r="A92" s="22" t="s">
        <v>818</v>
      </c>
      <c r="B92" s="25">
        <v>432</v>
      </c>
      <c r="C92" s="25">
        <v>335</v>
      </c>
      <c r="D92" s="25">
        <v>219</v>
      </c>
      <c r="E92" s="25">
        <v>198</v>
      </c>
      <c r="F92" s="25">
        <v>128</v>
      </c>
      <c r="G92" s="25">
        <v>120</v>
      </c>
      <c r="H92" s="25">
        <v>49</v>
      </c>
      <c r="I92" s="24">
        <v>0.11342592592592593</v>
      </c>
      <c r="J92" s="24">
        <v>0.12562814070351758</v>
      </c>
      <c r="K92" s="24">
        <v>0.43417085427135677</v>
      </c>
    </row>
    <row r="93" spans="1:11" x14ac:dyDescent="0.2">
      <c r="A93" s="22" t="s">
        <v>273</v>
      </c>
      <c r="B93" s="25">
        <v>398</v>
      </c>
      <c r="C93" s="25">
        <v>220</v>
      </c>
      <c r="D93" s="25">
        <v>155</v>
      </c>
      <c r="E93" s="25">
        <v>132</v>
      </c>
      <c r="F93" s="25">
        <v>107</v>
      </c>
      <c r="G93" s="25">
        <v>105</v>
      </c>
      <c r="H93" s="25">
        <v>48</v>
      </c>
      <c r="I93" s="24">
        <v>0.12060301507537688</v>
      </c>
      <c r="J93" s="24">
        <v>5.0632911392405063E-2</v>
      </c>
      <c r="K93" s="24">
        <v>2.518987341772152</v>
      </c>
    </row>
    <row r="94" spans="1:11" hidden="1" x14ac:dyDescent="0.2">
      <c r="A94" s="22" t="s">
        <v>772</v>
      </c>
      <c r="B94" s="25">
        <v>464</v>
      </c>
      <c r="C94" s="25">
        <v>358</v>
      </c>
      <c r="D94" s="25">
        <v>301</v>
      </c>
      <c r="E94" s="25">
        <v>249</v>
      </c>
      <c r="F94" s="25">
        <v>184</v>
      </c>
      <c r="G94" s="25">
        <v>178</v>
      </c>
      <c r="H94" s="25">
        <v>47</v>
      </c>
      <c r="I94" s="24">
        <v>0.10129310344827586</v>
      </c>
      <c r="J94" s="24" t="s">
        <v>1233</v>
      </c>
      <c r="K94" s="24">
        <v>0</v>
      </c>
    </row>
    <row r="95" spans="1:11" x14ac:dyDescent="0.2">
      <c r="A95" s="22" t="s">
        <v>658</v>
      </c>
      <c r="B95" s="25">
        <v>126</v>
      </c>
      <c r="C95" s="25">
        <v>112</v>
      </c>
      <c r="D95" s="25">
        <v>103</v>
      </c>
      <c r="E95" s="25">
        <v>97</v>
      </c>
      <c r="F95" s="25">
        <v>76</v>
      </c>
      <c r="G95" s="25">
        <v>74</v>
      </c>
      <c r="H95" s="25">
        <v>46</v>
      </c>
      <c r="I95" s="24">
        <v>0.36507936507936506</v>
      </c>
      <c r="J95" s="24" t="s">
        <v>1233</v>
      </c>
      <c r="K95" s="24">
        <v>0</v>
      </c>
    </row>
    <row r="96" spans="1:11" hidden="1" x14ac:dyDescent="0.2">
      <c r="A96" s="22" t="s">
        <v>153</v>
      </c>
      <c r="B96" s="25">
        <v>674</v>
      </c>
      <c r="C96" s="25">
        <v>336</v>
      </c>
      <c r="D96" s="25">
        <v>221</v>
      </c>
      <c r="E96" s="25">
        <v>190</v>
      </c>
      <c r="F96" s="25">
        <v>154</v>
      </c>
      <c r="G96" s="25">
        <v>148</v>
      </c>
      <c r="H96" s="25">
        <v>46</v>
      </c>
      <c r="I96" s="24">
        <v>6.8249258160237386E-2</v>
      </c>
      <c r="J96" s="24">
        <v>5.168986083499006E-2</v>
      </c>
      <c r="K96" s="24">
        <v>1.3399602385685885</v>
      </c>
    </row>
    <row r="97" spans="1:11" x14ac:dyDescent="0.2">
      <c r="A97" s="22" t="s">
        <v>544</v>
      </c>
      <c r="B97" s="25">
        <v>275</v>
      </c>
      <c r="C97" s="25">
        <v>262</v>
      </c>
      <c r="D97" s="25">
        <v>195</v>
      </c>
      <c r="E97" s="25">
        <v>169</v>
      </c>
      <c r="F97" s="25">
        <v>124</v>
      </c>
      <c r="G97" s="25">
        <v>116</v>
      </c>
      <c r="H97" s="25">
        <v>46</v>
      </c>
      <c r="I97" s="24">
        <v>0.16727272727272727</v>
      </c>
      <c r="J97" s="24">
        <v>0.21126760563380281</v>
      </c>
      <c r="K97" s="24">
        <v>3.8732394366197185</v>
      </c>
    </row>
    <row r="98" spans="1:11" x14ac:dyDescent="0.2">
      <c r="A98" s="22" t="s">
        <v>770</v>
      </c>
      <c r="B98" s="25">
        <v>333</v>
      </c>
      <c r="C98" s="25">
        <v>241</v>
      </c>
      <c r="D98" s="25">
        <v>183</v>
      </c>
      <c r="E98" s="25">
        <v>160</v>
      </c>
      <c r="F98" s="25">
        <v>89</v>
      </c>
      <c r="G98" s="25">
        <v>84</v>
      </c>
      <c r="H98" s="25">
        <v>46</v>
      </c>
      <c r="I98" s="24">
        <v>0.13813813813813813</v>
      </c>
      <c r="J98" s="24">
        <v>8.7087087087087081E-2</v>
      </c>
      <c r="K98" s="24">
        <v>1</v>
      </c>
    </row>
    <row r="99" spans="1:11" hidden="1" x14ac:dyDescent="0.2">
      <c r="A99" s="22" t="s">
        <v>205</v>
      </c>
      <c r="B99" s="25">
        <v>539</v>
      </c>
      <c r="C99" s="25">
        <v>325</v>
      </c>
      <c r="D99" s="25">
        <v>212</v>
      </c>
      <c r="E99" s="25">
        <v>185</v>
      </c>
      <c r="F99" s="25">
        <v>145</v>
      </c>
      <c r="G99" s="25">
        <v>142</v>
      </c>
      <c r="H99" s="25">
        <v>44</v>
      </c>
      <c r="I99" s="24">
        <v>8.1632653061224483E-2</v>
      </c>
      <c r="J99" s="24">
        <v>7.5107296137339061E-2</v>
      </c>
      <c r="K99" s="24">
        <v>1.1566523605150214</v>
      </c>
    </row>
    <row r="100" spans="1:11" hidden="1" x14ac:dyDescent="0.2">
      <c r="A100" s="22" t="s">
        <v>134</v>
      </c>
      <c r="B100" s="25">
        <v>672</v>
      </c>
      <c r="C100" s="25">
        <v>283</v>
      </c>
      <c r="D100" s="25">
        <v>184</v>
      </c>
      <c r="E100" s="25">
        <v>160</v>
      </c>
      <c r="F100" s="25">
        <v>139</v>
      </c>
      <c r="G100" s="25">
        <v>134</v>
      </c>
      <c r="H100" s="25">
        <v>44</v>
      </c>
      <c r="I100" s="24">
        <v>6.5476190476190479E-2</v>
      </c>
      <c r="J100" s="24">
        <v>5.7259713701431493E-2</v>
      </c>
      <c r="K100" s="24">
        <v>1.3742331288343559</v>
      </c>
    </row>
    <row r="101" spans="1:11" hidden="1" x14ac:dyDescent="0.2">
      <c r="A101" s="22" t="s">
        <v>127</v>
      </c>
      <c r="B101" s="25">
        <v>632</v>
      </c>
      <c r="C101" s="25">
        <v>349</v>
      </c>
      <c r="D101" s="25">
        <v>251</v>
      </c>
      <c r="E101" s="25">
        <v>208</v>
      </c>
      <c r="F101" s="25">
        <v>162</v>
      </c>
      <c r="G101" s="25">
        <v>153</v>
      </c>
      <c r="H101" s="25">
        <v>44</v>
      </c>
      <c r="I101" s="24">
        <v>6.9620253164556958E-2</v>
      </c>
      <c r="J101" s="24">
        <v>7.3170731707317069E-2</v>
      </c>
      <c r="K101" s="24">
        <v>1.1010452961672474</v>
      </c>
    </row>
    <row r="102" spans="1:11" x14ac:dyDescent="0.2">
      <c r="A102" s="22" t="s">
        <v>291</v>
      </c>
      <c r="B102" s="25">
        <v>272</v>
      </c>
      <c r="C102" s="25">
        <v>190</v>
      </c>
      <c r="D102" s="25">
        <v>148</v>
      </c>
      <c r="E102" s="25">
        <v>130</v>
      </c>
      <c r="F102" s="25">
        <v>110</v>
      </c>
      <c r="G102" s="25">
        <v>104</v>
      </c>
      <c r="H102" s="25">
        <v>43</v>
      </c>
      <c r="I102" s="24">
        <v>0.15808823529411764</v>
      </c>
      <c r="J102" s="24">
        <v>0.25</v>
      </c>
      <c r="K102" s="24">
        <v>22.666666666666668</v>
      </c>
    </row>
    <row r="103" spans="1:11" x14ac:dyDescent="0.2">
      <c r="A103" s="22" t="s">
        <v>399</v>
      </c>
      <c r="B103" s="25">
        <v>231</v>
      </c>
      <c r="C103" s="25">
        <v>135</v>
      </c>
      <c r="D103" s="25">
        <v>108</v>
      </c>
      <c r="E103" s="25">
        <v>101</v>
      </c>
      <c r="F103" s="25">
        <v>84</v>
      </c>
      <c r="G103" s="25">
        <v>82</v>
      </c>
      <c r="H103" s="25">
        <v>43</v>
      </c>
      <c r="I103" s="24">
        <v>0.18614718614718614</v>
      </c>
      <c r="J103" s="24">
        <v>0.14285714285714285</v>
      </c>
      <c r="K103" s="24">
        <v>1.65</v>
      </c>
    </row>
    <row r="104" spans="1:11" x14ac:dyDescent="0.2">
      <c r="A104" s="22" t="s">
        <v>548</v>
      </c>
      <c r="B104" s="25">
        <v>333</v>
      </c>
      <c r="C104" s="25">
        <v>236</v>
      </c>
      <c r="D104" s="25">
        <v>174</v>
      </c>
      <c r="E104" s="25">
        <v>142</v>
      </c>
      <c r="F104" s="25">
        <v>110</v>
      </c>
      <c r="G104" s="25">
        <v>105</v>
      </c>
      <c r="H104" s="25">
        <v>42</v>
      </c>
      <c r="I104" s="24">
        <v>0.12612612612612611</v>
      </c>
      <c r="J104" s="24">
        <v>0.15217391304347827</v>
      </c>
      <c r="K104" s="24">
        <v>3.6195652173913042</v>
      </c>
    </row>
    <row r="105" spans="1:11" hidden="1" x14ac:dyDescent="0.2">
      <c r="A105" s="22" t="s">
        <v>668</v>
      </c>
      <c r="B105" s="25">
        <v>382</v>
      </c>
      <c r="C105" s="25">
        <v>294</v>
      </c>
      <c r="D105" s="25">
        <v>160</v>
      </c>
      <c r="E105" s="25">
        <v>137</v>
      </c>
      <c r="F105" s="25">
        <v>109</v>
      </c>
      <c r="G105" s="25">
        <v>105</v>
      </c>
      <c r="H105" s="25">
        <v>41</v>
      </c>
      <c r="I105" s="24">
        <v>0.10732984293193717</v>
      </c>
      <c r="J105" s="24" t="s">
        <v>1233</v>
      </c>
      <c r="K105" s="24">
        <v>0</v>
      </c>
    </row>
    <row r="106" spans="1:11" x14ac:dyDescent="0.2">
      <c r="A106" s="22" t="s">
        <v>720</v>
      </c>
      <c r="B106" s="25">
        <v>211</v>
      </c>
      <c r="C106" s="25">
        <v>170</v>
      </c>
      <c r="D106" s="25">
        <v>137</v>
      </c>
      <c r="E106" s="25">
        <v>115</v>
      </c>
      <c r="F106" s="25">
        <v>101</v>
      </c>
      <c r="G106" s="25">
        <v>94</v>
      </c>
      <c r="H106" s="25">
        <v>41</v>
      </c>
      <c r="I106" s="24">
        <v>0.19431279620853081</v>
      </c>
      <c r="J106" s="24">
        <v>0.10989010989010989</v>
      </c>
      <c r="K106" s="24">
        <v>2.3186813186813189</v>
      </c>
    </row>
    <row r="107" spans="1:11" x14ac:dyDescent="0.2">
      <c r="A107" s="22" t="s">
        <v>726</v>
      </c>
      <c r="B107" s="25">
        <v>279</v>
      </c>
      <c r="C107" s="25">
        <v>200</v>
      </c>
      <c r="D107" s="25">
        <v>119</v>
      </c>
      <c r="E107" s="25">
        <v>106</v>
      </c>
      <c r="F107" s="25">
        <v>89</v>
      </c>
      <c r="G107" s="25">
        <v>88</v>
      </c>
      <c r="H107" s="25">
        <v>41</v>
      </c>
      <c r="I107" s="24">
        <v>0.14695340501792115</v>
      </c>
      <c r="J107" s="24">
        <v>0.14685314685314685</v>
      </c>
      <c r="K107" s="24">
        <v>1.951048951048951</v>
      </c>
    </row>
    <row r="108" spans="1:11" hidden="1" x14ac:dyDescent="0.2">
      <c r="A108" s="22" t="s">
        <v>570</v>
      </c>
      <c r="B108" s="25">
        <v>887</v>
      </c>
      <c r="C108" s="25">
        <v>568</v>
      </c>
      <c r="D108" s="25">
        <v>436</v>
      </c>
      <c r="E108" s="25">
        <v>254</v>
      </c>
      <c r="F108" s="25">
        <v>132</v>
      </c>
      <c r="G108" s="25">
        <v>121</v>
      </c>
      <c r="H108" s="25">
        <v>40</v>
      </c>
      <c r="I108" s="24">
        <v>4.5095828635851182E-2</v>
      </c>
      <c r="J108" s="24">
        <v>6.6037735849056603E-2</v>
      </c>
      <c r="K108" s="24">
        <v>8.3679245283018862</v>
      </c>
    </row>
    <row r="109" spans="1:11" hidden="1" x14ac:dyDescent="0.2">
      <c r="A109" s="22" t="s">
        <v>819</v>
      </c>
      <c r="B109" s="25">
        <v>559</v>
      </c>
      <c r="C109" s="25">
        <v>351</v>
      </c>
      <c r="D109" s="25">
        <v>192</v>
      </c>
      <c r="E109" s="25">
        <v>135</v>
      </c>
      <c r="F109" s="25">
        <v>86</v>
      </c>
      <c r="G109" s="25">
        <v>77</v>
      </c>
      <c r="H109" s="25">
        <v>40</v>
      </c>
      <c r="I109" s="24">
        <v>7.1556350626118065E-2</v>
      </c>
      <c r="J109" s="24">
        <v>0.10344827586206896</v>
      </c>
      <c r="K109" s="24">
        <v>6.4252873563218387</v>
      </c>
    </row>
    <row r="110" spans="1:11" hidden="1" x14ac:dyDescent="0.2">
      <c r="A110" s="22" t="s">
        <v>289</v>
      </c>
      <c r="B110" s="25">
        <v>376</v>
      </c>
      <c r="C110" s="25">
        <v>167</v>
      </c>
      <c r="D110" s="25">
        <v>128</v>
      </c>
      <c r="E110" s="25">
        <v>118</v>
      </c>
      <c r="F110" s="25">
        <v>100</v>
      </c>
      <c r="G110" s="25">
        <v>92</v>
      </c>
      <c r="H110" s="25">
        <v>40</v>
      </c>
      <c r="I110" s="24">
        <v>0.10638297872340426</v>
      </c>
      <c r="J110" s="24">
        <v>9.8814229249011856E-2</v>
      </c>
      <c r="K110" s="24">
        <v>1.4861660079051384</v>
      </c>
    </row>
    <row r="111" spans="1:11" x14ac:dyDescent="0.2">
      <c r="A111" s="22" t="s">
        <v>293</v>
      </c>
      <c r="B111" s="25">
        <v>282</v>
      </c>
      <c r="C111" s="25">
        <v>166</v>
      </c>
      <c r="D111" s="25">
        <v>118</v>
      </c>
      <c r="E111" s="25">
        <v>104</v>
      </c>
      <c r="F111" s="25">
        <v>89</v>
      </c>
      <c r="G111" s="25">
        <v>83</v>
      </c>
      <c r="H111" s="25">
        <v>40</v>
      </c>
      <c r="I111" s="24">
        <v>0.14184397163120568</v>
      </c>
      <c r="J111" s="24" t="s">
        <v>1233</v>
      </c>
      <c r="K111" s="24">
        <v>0</v>
      </c>
    </row>
    <row r="112" spans="1:11" x14ac:dyDescent="0.2">
      <c r="A112" s="22" t="s">
        <v>586</v>
      </c>
      <c r="B112" s="25">
        <v>333</v>
      </c>
      <c r="C112" s="25">
        <v>173</v>
      </c>
      <c r="D112" s="25">
        <v>114</v>
      </c>
      <c r="E112" s="25">
        <v>95</v>
      </c>
      <c r="F112" s="25">
        <v>74</v>
      </c>
      <c r="G112" s="25">
        <v>70</v>
      </c>
      <c r="H112" s="25">
        <v>40</v>
      </c>
      <c r="I112" s="24">
        <v>0.12012012012012012</v>
      </c>
      <c r="J112" s="24">
        <v>0.17741935483870969</v>
      </c>
      <c r="K112" s="24">
        <v>5.370967741935484</v>
      </c>
    </row>
    <row r="113" spans="1:11" hidden="1" x14ac:dyDescent="0.2">
      <c r="A113" s="22" t="s">
        <v>680</v>
      </c>
      <c r="B113" s="25">
        <v>364</v>
      </c>
      <c r="C113" s="25">
        <v>223</v>
      </c>
      <c r="D113" s="25">
        <v>160</v>
      </c>
      <c r="E113" s="25">
        <v>137</v>
      </c>
      <c r="F113" s="25">
        <v>99</v>
      </c>
      <c r="G113" s="25">
        <v>96</v>
      </c>
      <c r="H113" s="25">
        <v>40</v>
      </c>
      <c r="I113" s="24">
        <v>0.10989010989010989</v>
      </c>
      <c r="J113" s="24">
        <v>8.9655172413793102E-2</v>
      </c>
      <c r="K113" s="24">
        <v>0.83678160919540234</v>
      </c>
    </row>
    <row r="114" spans="1:11" x14ac:dyDescent="0.2">
      <c r="A114" s="22" t="s">
        <v>279</v>
      </c>
      <c r="B114" s="25">
        <v>221</v>
      </c>
      <c r="C114" s="25">
        <v>138</v>
      </c>
      <c r="D114" s="25">
        <v>106</v>
      </c>
      <c r="E114" s="25">
        <v>97</v>
      </c>
      <c r="F114" s="25">
        <v>81</v>
      </c>
      <c r="G114" s="25">
        <v>75</v>
      </c>
      <c r="H114" s="25">
        <v>39</v>
      </c>
      <c r="I114" s="24">
        <v>0.17647058823529413</v>
      </c>
      <c r="J114" s="24">
        <v>8.9820359281437126E-2</v>
      </c>
      <c r="K114" s="24">
        <v>1.3233532934131738</v>
      </c>
    </row>
    <row r="115" spans="1:11" hidden="1" x14ac:dyDescent="0.2">
      <c r="A115" s="22" t="s">
        <v>72</v>
      </c>
      <c r="B115" s="23">
        <v>2180</v>
      </c>
      <c r="C115" s="23">
        <v>1435</v>
      </c>
      <c r="D115" s="25">
        <v>143</v>
      </c>
      <c r="E115" s="25">
        <v>105</v>
      </c>
      <c r="F115" s="25">
        <v>91</v>
      </c>
      <c r="G115" s="25">
        <v>89</v>
      </c>
      <c r="H115" s="25">
        <v>39</v>
      </c>
      <c r="I115" s="24">
        <v>1.7889908256880735E-2</v>
      </c>
      <c r="J115" s="24">
        <v>0.17273547998796268</v>
      </c>
      <c r="K115" s="24">
        <v>0.65603370448390008</v>
      </c>
    </row>
    <row r="116" spans="1:11" hidden="1" x14ac:dyDescent="0.2">
      <c r="A116" s="22" t="s">
        <v>101</v>
      </c>
      <c r="B116" s="25">
        <v>543</v>
      </c>
      <c r="C116" s="25">
        <v>300</v>
      </c>
      <c r="D116" s="25">
        <v>228</v>
      </c>
      <c r="E116" s="25">
        <v>190</v>
      </c>
      <c r="F116" s="25">
        <v>144</v>
      </c>
      <c r="G116" s="25">
        <v>134</v>
      </c>
      <c r="H116" s="25">
        <v>38</v>
      </c>
      <c r="I116" s="24">
        <v>6.9981583793738492E-2</v>
      </c>
      <c r="J116" s="24">
        <v>5.7692307692307696E-2</v>
      </c>
      <c r="K116" s="24">
        <v>1.7403846153846154</v>
      </c>
    </row>
    <row r="117" spans="1:11" hidden="1" x14ac:dyDescent="0.2">
      <c r="A117" s="22" t="s">
        <v>299</v>
      </c>
      <c r="B117" s="25">
        <v>361</v>
      </c>
      <c r="C117" s="25">
        <v>138</v>
      </c>
      <c r="D117" s="25">
        <v>107</v>
      </c>
      <c r="E117" s="25">
        <v>90</v>
      </c>
      <c r="F117" s="25">
        <v>77</v>
      </c>
      <c r="G117" s="25">
        <v>72</v>
      </c>
      <c r="H117" s="25">
        <v>38</v>
      </c>
      <c r="I117" s="24">
        <v>0.10526315789473684</v>
      </c>
      <c r="J117" s="24">
        <v>7.6335877862595422E-2</v>
      </c>
      <c r="K117" s="24">
        <v>1.3778625954198473</v>
      </c>
    </row>
    <row r="118" spans="1:11" hidden="1" x14ac:dyDescent="0.2">
      <c r="A118" s="22" t="s">
        <v>572</v>
      </c>
      <c r="B118" s="25">
        <v>311</v>
      </c>
      <c r="C118" s="25">
        <v>204</v>
      </c>
      <c r="D118" s="25">
        <v>145</v>
      </c>
      <c r="E118" s="25">
        <v>117</v>
      </c>
      <c r="F118" s="25">
        <v>86</v>
      </c>
      <c r="G118" s="25">
        <v>81</v>
      </c>
      <c r="H118" s="25">
        <v>37</v>
      </c>
      <c r="I118" s="24">
        <v>0.11897106109324759</v>
      </c>
      <c r="J118" s="24">
        <v>9.8765432098765427E-2</v>
      </c>
      <c r="K118" s="24">
        <v>3.8395061728395063</v>
      </c>
    </row>
    <row r="119" spans="1:11" hidden="1" x14ac:dyDescent="0.2">
      <c r="A119" s="22" t="s">
        <v>698</v>
      </c>
      <c r="B119" s="25">
        <v>427</v>
      </c>
      <c r="C119" s="25">
        <v>268</v>
      </c>
      <c r="D119" s="25">
        <v>175</v>
      </c>
      <c r="E119" s="25">
        <v>142</v>
      </c>
      <c r="F119" s="25">
        <v>98</v>
      </c>
      <c r="G119" s="25">
        <v>90</v>
      </c>
      <c r="H119" s="25">
        <v>35</v>
      </c>
      <c r="I119" s="24">
        <v>8.1967213114754092E-2</v>
      </c>
      <c r="J119" s="24">
        <v>8.7662337662337664E-2</v>
      </c>
      <c r="K119" s="24">
        <v>1.3863636363636365</v>
      </c>
    </row>
    <row r="120" spans="1:11" hidden="1" x14ac:dyDescent="0.2">
      <c r="A120" s="22" t="s">
        <v>584</v>
      </c>
      <c r="B120" s="25">
        <v>326</v>
      </c>
      <c r="C120" s="25">
        <v>238</v>
      </c>
      <c r="D120" s="25">
        <v>171</v>
      </c>
      <c r="E120" s="25">
        <v>144</v>
      </c>
      <c r="F120" s="25">
        <v>113</v>
      </c>
      <c r="G120" s="25">
        <v>111</v>
      </c>
      <c r="H120" s="25">
        <v>34</v>
      </c>
      <c r="I120" s="24">
        <v>0.10429447852760736</v>
      </c>
      <c r="J120" s="24">
        <v>3.903903903903904E-2</v>
      </c>
      <c r="K120" s="24">
        <v>0.97897897897897901</v>
      </c>
    </row>
    <row r="121" spans="1:11" x14ac:dyDescent="0.2">
      <c r="A121" s="22" t="s">
        <v>702</v>
      </c>
      <c r="B121" s="25">
        <v>266</v>
      </c>
      <c r="C121" s="25">
        <v>216</v>
      </c>
      <c r="D121" s="25">
        <v>116</v>
      </c>
      <c r="E121" s="25">
        <v>105</v>
      </c>
      <c r="F121" s="25">
        <v>90</v>
      </c>
      <c r="G121" s="25">
        <v>86</v>
      </c>
      <c r="H121" s="25">
        <v>34</v>
      </c>
      <c r="I121" s="24">
        <v>0.12781954887218044</v>
      </c>
      <c r="J121" s="24">
        <v>0.14473684210526316</v>
      </c>
      <c r="K121" s="24">
        <v>1.75</v>
      </c>
    </row>
    <row r="122" spans="1:11" x14ac:dyDescent="0.2">
      <c r="A122" s="22" t="s">
        <v>768</v>
      </c>
      <c r="B122" s="25">
        <v>158</v>
      </c>
      <c r="C122" s="25">
        <v>106</v>
      </c>
      <c r="D122" s="25">
        <v>88</v>
      </c>
      <c r="E122" s="25">
        <v>81</v>
      </c>
      <c r="F122" s="25">
        <v>65</v>
      </c>
      <c r="G122" s="25">
        <v>62</v>
      </c>
      <c r="H122" s="25">
        <v>34</v>
      </c>
      <c r="I122" s="24">
        <v>0.21518987341772153</v>
      </c>
      <c r="J122" s="24">
        <v>0.20930232558139536</v>
      </c>
      <c r="K122" s="24">
        <v>1.8372093023255813</v>
      </c>
    </row>
    <row r="123" spans="1:11" x14ac:dyDescent="0.2">
      <c r="A123" s="22" t="s">
        <v>191</v>
      </c>
      <c r="B123" s="25">
        <v>228</v>
      </c>
      <c r="C123" s="25">
        <v>191</v>
      </c>
      <c r="D123" s="25">
        <v>145</v>
      </c>
      <c r="E123" s="25">
        <v>134</v>
      </c>
      <c r="F123" s="25">
        <v>108</v>
      </c>
      <c r="G123" s="25">
        <v>101</v>
      </c>
      <c r="H123" s="25">
        <v>33</v>
      </c>
      <c r="I123" s="24">
        <v>0.14473684210526316</v>
      </c>
      <c r="J123" s="24">
        <v>0.11152416356877323</v>
      </c>
      <c r="K123" s="24">
        <v>0.84758364312267653</v>
      </c>
    </row>
    <row r="124" spans="1:11" x14ac:dyDescent="0.2">
      <c r="A124" s="22" t="s">
        <v>355</v>
      </c>
      <c r="B124" s="25">
        <v>257</v>
      </c>
      <c r="C124" s="25">
        <v>168</v>
      </c>
      <c r="D124" s="25">
        <v>126</v>
      </c>
      <c r="E124" s="25">
        <v>110</v>
      </c>
      <c r="F124" s="25">
        <v>95</v>
      </c>
      <c r="G124" s="25">
        <v>89</v>
      </c>
      <c r="H124" s="25">
        <v>32</v>
      </c>
      <c r="I124" s="24">
        <v>0.1245136186770428</v>
      </c>
      <c r="J124" s="24">
        <v>7.7419354838709681E-2</v>
      </c>
      <c r="K124" s="24">
        <v>1.6580645161290322</v>
      </c>
    </row>
    <row r="125" spans="1:11" hidden="1" x14ac:dyDescent="0.2">
      <c r="A125" s="22" t="s">
        <v>287</v>
      </c>
      <c r="B125" s="25">
        <v>697</v>
      </c>
      <c r="C125" s="25">
        <v>209</v>
      </c>
      <c r="D125" s="25">
        <v>122</v>
      </c>
      <c r="E125" s="25">
        <v>100</v>
      </c>
      <c r="F125" s="25">
        <v>73</v>
      </c>
      <c r="G125" s="25">
        <v>72</v>
      </c>
      <c r="H125" s="25">
        <v>31</v>
      </c>
      <c r="I125" s="24">
        <v>4.4476327116212341E-2</v>
      </c>
      <c r="J125" s="24">
        <v>4.3181818181818182E-2</v>
      </c>
      <c r="K125" s="24">
        <v>1.584090909090909</v>
      </c>
    </row>
    <row r="126" spans="1:11" x14ac:dyDescent="0.2">
      <c r="A126" s="22" t="s">
        <v>650</v>
      </c>
      <c r="B126" s="25">
        <v>229</v>
      </c>
      <c r="C126" s="25">
        <v>187</v>
      </c>
      <c r="D126" s="25">
        <v>121</v>
      </c>
      <c r="E126" s="25">
        <v>96</v>
      </c>
      <c r="F126" s="25">
        <v>80</v>
      </c>
      <c r="G126" s="25">
        <v>72</v>
      </c>
      <c r="H126" s="25">
        <v>31</v>
      </c>
      <c r="I126" s="24">
        <v>0.13537117903930132</v>
      </c>
      <c r="J126" s="24">
        <v>0.1</v>
      </c>
      <c r="K126" s="24">
        <v>22.9</v>
      </c>
    </row>
    <row r="127" spans="1:11" x14ac:dyDescent="0.2">
      <c r="A127" s="22" t="s">
        <v>506</v>
      </c>
      <c r="B127" s="25">
        <v>151</v>
      </c>
      <c r="C127" s="25">
        <v>126</v>
      </c>
      <c r="D127" s="25">
        <v>96</v>
      </c>
      <c r="E127" s="25">
        <v>80</v>
      </c>
      <c r="F127" s="25">
        <v>59</v>
      </c>
      <c r="G127" s="25">
        <v>58</v>
      </c>
      <c r="H127" s="25">
        <v>31</v>
      </c>
      <c r="I127" s="24">
        <v>0.20529801324503311</v>
      </c>
      <c r="J127" s="24">
        <v>0.23300970873786409</v>
      </c>
      <c r="K127" s="24">
        <v>0.73300970873786409</v>
      </c>
    </row>
    <row r="128" spans="1:11" x14ac:dyDescent="0.2">
      <c r="A128" s="22" t="s">
        <v>820</v>
      </c>
      <c r="B128" s="25">
        <v>211</v>
      </c>
      <c r="C128" s="25">
        <v>146</v>
      </c>
      <c r="D128" s="25">
        <v>104</v>
      </c>
      <c r="E128" s="25">
        <v>89</v>
      </c>
      <c r="F128" s="25">
        <v>52</v>
      </c>
      <c r="G128" s="25">
        <v>52</v>
      </c>
      <c r="H128" s="25">
        <v>31</v>
      </c>
      <c r="I128" s="24">
        <v>0.14691943127962084</v>
      </c>
      <c r="J128" s="24">
        <v>8.9041095890410954E-2</v>
      </c>
      <c r="K128" s="24">
        <v>1.4452054794520548</v>
      </c>
    </row>
    <row r="129" spans="1:11" hidden="1" x14ac:dyDescent="0.2">
      <c r="A129" s="22" t="s">
        <v>642</v>
      </c>
      <c r="B129" s="25">
        <v>367</v>
      </c>
      <c r="C129" s="25">
        <v>265</v>
      </c>
      <c r="D129" s="25">
        <v>197</v>
      </c>
      <c r="E129" s="25">
        <v>149</v>
      </c>
      <c r="F129" s="25">
        <v>106</v>
      </c>
      <c r="G129" s="25">
        <v>102</v>
      </c>
      <c r="H129" s="25">
        <v>30</v>
      </c>
      <c r="I129" s="24">
        <v>8.1743869209809264E-2</v>
      </c>
      <c r="J129" s="24">
        <v>0.12578616352201258</v>
      </c>
      <c r="K129" s="24">
        <v>2.308176100628931</v>
      </c>
    </row>
    <row r="130" spans="1:11" hidden="1" x14ac:dyDescent="0.2">
      <c r="A130" s="22" t="s">
        <v>425</v>
      </c>
      <c r="B130" s="25">
        <v>289</v>
      </c>
      <c r="C130" s="25">
        <v>156</v>
      </c>
      <c r="D130" s="25">
        <v>110</v>
      </c>
      <c r="E130" s="25">
        <v>95</v>
      </c>
      <c r="F130" s="25">
        <v>72</v>
      </c>
      <c r="G130" s="25">
        <v>69</v>
      </c>
      <c r="H130" s="25">
        <v>30</v>
      </c>
      <c r="I130" s="24">
        <v>0.10380622837370242</v>
      </c>
      <c r="J130" s="24">
        <v>0.10759493670886076</v>
      </c>
      <c r="K130" s="24">
        <v>0.91455696202531644</v>
      </c>
    </row>
    <row r="131" spans="1:11" hidden="1" x14ac:dyDescent="0.2">
      <c r="A131" s="22" t="s">
        <v>580</v>
      </c>
      <c r="B131" s="25">
        <v>289</v>
      </c>
      <c r="C131" s="25">
        <v>198</v>
      </c>
      <c r="D131" s="25">
        <v>143</v>
      </c>
      <c r="E131" s="25">
        <v>117</v>
      </c>
      <c r="F131" s="25">
        <v>85</v>
      </c>
      <c r="G131" s="25">
        <v>82</v>
      </c>
      <c r="H131" s="25">
        <v>30</v>
      </c>
      <c r="I131" s="24">
        <v>0.10380622837370242</v>
      </c>
      <c r="J131" s="24">
        <v>7.8767123287671229E-2</v>
      </c>
      <c r="K131" s="24">
        <v>0.98972602739726023</v>
      </c>
    </row>
    <row r="132" spans="1:11" x14ac:dyDescent="0.2">
      <c r="A132" s="22" t="s">
        <v>468</v>
      </c>
      <c r="B132" s="25">
        <v>111</v>
      </c>
      <c r="C132" s="25">
        <v>99</v>
      </c>
      <c r="D132" s="25">
        <v>71</v>
      </c>
      <c r="E132" s="25">
        <v>63</v>
      </c>
      <c r="F132" s="25">
        <v>46</v>
      </c>
      <c r="G132" s="25">
        <v>46</v>
      </c>
      <c r="H132" s="25">
        <v>29</v>
      </c>
      <c r="I132" s="24">
        <v>0.26126126126126126</v>
      </c>
      <c r="J132" s="24">
        <v>0.27083333333333331</v>
      </c>
      <c r="K132" s="24">
        <v>0.77083333333333337</v>
      </c>
    </row>
    <row r="133" spans="1:11" hidden="1" x14ac:dyDescent="0.2">
      <c r="A133" s="22" t="s">
        <v>332</v>
      </c>
      <c r="B133" s="25">
        <v>353</v>
      </c>
      <c r="C133" s="25">
        <v>174</v>
      </c>
      <c r="D133" s="25">
        <v>110</v>
      </c>
      <c r="E133" s="25">
        <v>91</v>
      </c>
      <c r="F133" s="25">
        <v>72</v>
      </c>
      <c r="G133" s="25">
        <v>65</v>
      </c>
      <c r="H133" s="25">
        <v>29</v>
      </c>
      <c r="I133" s="24">
        <v>8.2152974504249299E-2</v>
      </c>
      <c r="J133" s="24">
        <v>4.5454545454545456E-2</v>
      </c>
      <c r="K133" s="24">
        <v>8.0227272727272734</v>
      </c>
    </row>
    <row r="134" spans="1:11" hidden="1" x14ac:dyDescent="0.2">
      <c r="A134" s="22" t="s">
        <v>415</v>
      </c>
      <c r="B134" s="25">
        <v>391</v>
      </c>
      <c r="C134" s="25">
        <v>170</v>
      </c>
      <c r="D134" s="25">
        <v>118</v>
      </c>
      <c r="E134" s="25">
        <v>102</v>
      </c>
      <c r="F134" s="25">
        <v>76</v>
      </c>
      <c r="G134" s="25">
        <v>72</v>
      </c>
      <c r="H134" s="25">
        <v>29</v>
      </c>
      <c r="I134" s="24">
        <v>7.4168797953964194E-2</v>
      </c>
      <c r="J134" s="24">
        <v>0.10541310541310542</v>
      </c>
      <c r="K134" s="24">
        <v>1.1139601139601139</v>
      </c>
    </row>
    <row r="135" spans="1:11" x14ac:dyDescent="0.2">
      <c r="A135" s="22" t="s">
        <v>478</v>
      </c>
      <c r="B135" s="25">
        <v>189</v>
      </c>
      <c r="C135" s="25">
        <v>126</v>
      </c>
      <c r="D135" s="25">
        <v>87</v>
      </c>
      <c r="E135" s="25">
        <v>74</v>
      </c>
      <c r="F135" s="25">
        <v>62</v>
      </c>
      <c r="G135" s="25">
        <v>57</v>
      </c>
      <c r="H135" s="25">
        <v>28</v>
      </c>
      <c r="I135" s="24">
        <v>0.14814814814814814</v>
      </c>
      <c r="J135" s="24">
        <v>7.4712643678160925E-2</v>
      </c>
      <c r="K135" s="24">
        <v>1.0862068965517242</v>
      </c>
    </row>
    <row r="136" spans="1:11" x14ac:dyDescent="0.2">
      <c r="A136" s="22" t="s">
        <v>688</v>
      </c>
      <c r="B136" s="25">
        <v>219</v>
      </c>
      <c r="C136" s="25">
        <v>164</v>
      </c>
      <c r="D136" s="25">
        <v>118</v>
      </c>
      <c r="E136" s="25">
        <v>102</v>
      </c>
      <c r="F136" s="25">
        <v>74</v>
      </c>
      <c r="G136" s="25">
        <v>71</v>
      </c>
      <c r="H136" s="25">
        <v>28</v>
      </c>
      <c r="I136" s="24">
        <v>0.12785388127853881</v>
      </c>
      <c r="J136" s="24">
        <v>0.26229508196721313</v>
      </c>
      <c r="K136" s="24">
        <v>3.5901639344262297</v>
      </c>
    </row>
    <row r="137" spans="1:11" x14ac:dyDescent="0.2">
      <c r="A137" s="22" t="s">
        <v>821</v>
      </c>
      <c r="B137" s="25">
        <v>163</v>
      </c>
      <c r="C137" s="25">
        <v>129</v>
      </c>
      <c r="D137" s="25">
        <v>105</v>
      </c>
      <c r="E137" s="25">
        <v>90</v>
      </c>
      <c r="F137" s="25">
        <v>65</v>
      </c>
      <c r="G137" s="25">
        <v>64</v>
      </c>
      <c r="H137" s="25">
        <v>28</v>
      </c>
      <c r="I137" s="24">
        <v>0.17177914110429449</v>
      </c>
      <c r="J137" s="24">
        <v>0.15894039735099338</v>
      </c>
      <c r="K137" s="24">
        <v>1.0794701986754967</v>
      </c>
    </row>
    <row r="138" spans="1:11" hidden="1" x14ac:dyDescent="0.2">
      <c r="A138" s="22" t="s">
        <v>822</v>
      </c>
      <c r="B138" s="25">
        <v>244</v>
      </c>
      <c r="C138" s="25">
        <v>150</v>
      </c>
      <c r="D138" s="25">
        <v>111</v>
      </c>
      <c r="E138" s="25">
        <v>95</v>
      </c>
      <c r="F138" s="25">
        <v>81</v>
      </c>
      <c r="G138" s="25">
        <v>73</v>
      </c>
      <c r="H138" s="25">
        <v>28</v>
      </c>
      <c r="I138" s="24">
        <v>0.11475409836065574</v>
      </c>
      <c r="J138" s="24">
        <v>0.17073170731707318</v>
      </c>
      <c r="K138" s="24">
        <v>1.9837398373983739</v>
      </c>
    </row>
    <row r="139" spans="1:11" hidden="1" x14ac:dyDescent="0.2">
      <c r="A139" s="22" t="s">
        <v>177</v>
      </c>
      <c r="B139" s="25">
        <v>287</v>
      </c>
      <c r="C139" s="25">
        <v>136</v>
      </c>
      <c r="D139" s="25">
        <v>92</v>
      </c>
      <c r="E139" s="25">
        <v>80</v>
      </c>
      <c r="F139" s="25">
        <v>63</v>
      </c>
      <c r="G139" s="25">
        <v>58</v>
      </c>
      <c r="H139" s="25">
        <v>28</v>
      </c>
      <c r="I139" s="24">
        <v>9.7560975609756101E-2</v>
      </c>
      <c r="J139" s="24">
        <v>0.10625</v>
      </c>
      <c r="K139" s="24">
        <v>1.79375</v>
      </c>
    </row>
    <row r="140" spans="1:11" hidden="1" x14ac:dyDescent="0.2">
      <c r="A140" s="22" t="s">
        <v>345</v>
      </c>
      <c r="B140" s="25">
        <v>543</v>
      </c>
      <c r="C140" s="25">
        <v>282</v>
      </c>
      <c r="D140" s="25">
        <v>177</v>
      </c>
      <c r="E140" s="25">
        <v>150</v>
      </c>
      <c r="F140" s="25">
        <v>108</v>
      </c>
      <c r="G140" s="25">
        <v>107</v>
      </c>
      <c r="H140" s="25">
        <v>28</v>
      </c>
      <c r="I140" s="24">
        <v>5.1565377532228361E-2</v>
      </c>
      <c r="J140" s="24">
        <v>4.6783625730994149E-2</v>
      </c>
      <c r="K140" s="24">
        <v>1.5877192982456141</v>
      </c>
    </row>
    <row r="141" spans="1:11" x14ac:dyDescent="0.2">
      <c r="A141" s="22" t="s">
        <v>401</v>
      </c>
      <c r="B141" s="25">
        <v>183</v>
      </c>
      <c r="C141" s="25">
        <v>139</v>
      </c>
      <c r="D141" s="25">
        <v>117</v>
      </c>
      <c r="E141" s="25">
        <v>98</v>
      </c>
      <c r="F141" s="25">
        <v>62</v>
      </c>
      <c r="G141" s="25">
        <v>59</v>
      </c>
      <c r="H141" s="25">
        <v>28</v>
      </c>
      <c r="I141" s="24">
        <v>0.15300546448087432</v>
      </c>
      <c r="J141" s="24">
        <v>0.1951219512195122</v>
      </c>
      <c r="K141" s="24">
        <v>1.1158536585365855</v>
      </c>
    </row>
    <row r="142" spans="1:11" hidden="1" x14ac:dyDescent="0.2">
      <c r="A142" s="22" t="s">
        <v>387</v>
      </c>
      <c r="B142" s="25">
        <v>515</v>
      </c>
      <c r="C142" s="25">
        <v>278</v>
      </c>
      <c r="D142" s="25">
        <v>167</v>
      </c>
      <c r="E142" s="25">
        <v>136</v>
      </c>
      <c r="F142" s="25">
        <v>101</v>
      </c>
      <c r="G142" s="25">
        <v>99</v>
      </c>
      <c r="H142" s="25">
        <v>28</v>
      </c>
      <c r="I142" s="24">
        <v>5.4368932038834951E-2</v>
      </c>
      <c r="J142" s="24" t="s">
        <v>1233</v>
      </c>
      <c r="K142" s="24">
        <v>0</v>
      </c>
    </row>
    <row r="143" spans="1:11" x14ac:dyDescent="0.2">
      <c r="A143" s="22" t="s">
        <v>738</v>
      </c>
      <c r="B143" s="25">
        <v>182</v>
      </c>
      <c r="C143" s="25">
        <v>91</v>
      </c>
      <c r="D143" s="25">
        <v>69</v>
      </c>
      <c r="E143" s="25">
        <v>60</v>
      </c>
      <c r="F143" s="25">
        <v>43</v>
      </c>
      <c r="G143" s="25">
        <v>41</v>
      </c>
      <c r="H143" s="25">
        <v>27</v>
      </c>
      <c r="I143" s="24">
        <v>0.14835164835164835</v>
      </c>
      <c r="J143" s="24" t="s">
        <v>1233</v>
      </c>
      <c r="K143" s="24">
        <v>0</v>
      </c>
    </row>
    <row r="144" spans="1:11" hidden="1" x14ac:dyDescent="0.2">
      <c r="A144" s="22" t="s">
        <v>652</v>
      </c>
      <c r="B144" s="25">
        <v>265</v>
      </c>
      <c r="C144" s="25">
        <v>185</v>
      </c>
      <c r="D144" s="25">
        <v>137</v>
      </c>
      <c r="E144" s="25">
        <v>118</v>
      </c>
      <c r="F144" s="25">
        <v>88</v>
      </c>
      <c r="G144" s="25">
        <v>86</v>
      </c>
      <c r="H144" s="25">
        <v>27</v>
      </c>
      <c r="I144" s="24">
        <v>0.10188679245283019</v>
      </c>
      <c r="J144" s="24">
        <v>4.7945205479452052E-2</v>
      </c>
      <c r="K144" s="24">
        <v>1.8150684931506849</v>
      </c>
    </row>
    <row r="145" spans="1:11" hidden="1" x14ac:dyDescent="0.2">
      <c r="A145" s="22" t="s">
        <v>656</v>
      </c>
      <c r="B145" s="25">
        <v>316</v>
      </c>
      <c r="C145" s="25">
        <v>232</v>
      </c>
      <c r="D145" s="25">
        <v>175</v>
      </c>
      <c r="E145" s="25">
        <v>149</v>
      </c>
      <c r="F145" s="25">
        <v>113</v>
      </c>
      <c r="G145" s="25">
        <v>110</v>
      </c>
      <c r="H145" s="25">
        <v>27</v>
      </c>
      <c r="I145" s="24">
        <v>8.5443037974683542E-2</v>
      </c>
      <c r="J145" s="24">
        <v>9.8591549295774641E-2</v>
      </c>
      <c r="K145" s="24">
        <v>1.483568075117371</v>
      </c>
    </row>
    <row r="146" spans="1:11" hidden="1" x14ac:dyDescent="0.2">
      <c r="A146" s="22" t="s">
        <v>375</v>
      </c>
      <c r="B146" s="25">
        <v>353</v>
      </c>
      <c r="C146" s="25">
        <v>195</v>
      </c>
      <c r="D146" s="25">
        <v>119</v>
      </c>
      <c r="E146" s="25">
        <v>102</v>
      </c>
      <c r="F146" s="25">
        <v>91</v>
      </c>
      <c r="G146" s="25">
        <v>86</v>
      </c>
      <c r="H146" s="25">
        <v>26</v>
      </c>
      <c r="I146" s="24">
        <v>7.3654390934844188E-2</v>
      </c>
      <c r="J146" s="24">
        <v>0.1348314606741573</v>
      </c>
      <c r="K146" s="24">
        <v>3.9662921348314608</v>
      </c>
    </row>
    <row r="147" spans="1:11" hidden="1" x14ac:dyDescent="0.2">
      <c r="A147" s="22" t="s">
        <v>482</v>
      </c>
      <c r="B147" s="25">
        <v>412</v>
      </c>
      <c r="C147" s="25">
        <v>211</v>
      </c>
      <c r="D147" s="25">
        <v>145</v>
      </c>
      <c r="E147" s="25">
        <v>118</v>
      </c>
      <c r="F147" s="25">
        <v>89</v>
      </c>
      <c r="G147" s="25">
        <v>86</v>
      </c>
      <c r="H147" s="25">
        <v>26</v>
      </c>
      <c r="I147" s="24">
        <v>6.3106796116504854E-2</v>
      </c>
      <c r="J147" s="24">
        <v>8.8888888888888892E-2</v>
      </c>
      <c r="K147" s="24">
        <v>2.2888888888888888</v>
      </c>
    </row>
    <row r="148" spans="1:11" hidden="1" x14ac:dyDescent="0.2">
      <c r="A148" s="22" t="s">
        <v>357</v>
      </c>
      <c r="B148" s="25">
        <v>529</v>
      </c>
      <c r="C148" s="25">
        <v>195</v>
      </c>
      <c r="D148" s="25">
        <v>142</v>
      </c>
      <c r="E148" s="25">
        <v>118</v>
      </c>
      <c r="F148" s="25">
        <v>91</v>
      </c>
      <c r="G148" s="25">
        <v>88</v>
      </c>
      <c r="H148" s="25">
        <v>26</v>
      </c>
      <c r="I148" s="24">
        <v>4.9149338374291113E-2</v>
      </c>
      <c r="J148" s="24">
        <v>4.8625792811839326E-2</v>
      </c>
      <c r="K148" s="24">
        <v>1.1183932346723044</v>
      </c>
    </row>
    <row r="149" spans="1:11" hidden="1" x14ac:dyDescent="0.2">
      <c r="A149" s="22" t="s">
        <v>363</v>
      </c>
      <c r="B149" s="25">
        <v>354</v>
      </c>
      <c r="C149" s="25">
        <v>180</v>
      </c>
      <c r="D149" s="25">
        <v>119</v>
      </c>
      <c r="E149" s="25">
        <v>98</v>
      </c>
      <c r="F149" s="25">
        <v>74</v>
      </c>
      <c r="G149" s="25">
        <v>71</v>
      </c>
      <c r="H149" s="25">
        <v>25</v>
      </c>
      <c r="I149" s="24">
        <v>7.0621468926553674E-2</v>
      </c>
      <c r="J149" s="24">
        <v>5.4054054054054057E-2</v>
      </c>
      <c r="K149" s="24">
        <v>1.5945945945945945</v>
      </c>
    </row>
    <row r="150" spans="1:11" x14ac:dyDescent="0.2">
      <c r="A150" s="22" t="s">
        <v>367</v>
      </c>
      <c r="B150" s="25">
        <v>179</v>
      </c>
      <c r="C150" s="25">
        <v>102</v>
      </c>
      <c r="D150" s="25">
        <v>81</v>
      </c>
      <c r="E150" s="25">
        <v>70</v>
      </c>
      <c r="F150" s="25">
        <v>57</v>
      </c>
      <c r="G150" s="25">
        <v>53</v>
      </c>
      <c r="H150" s="25">
        <v>25</v>
      </c>
      <c r="I150" s="24">
        <v>0.13966480446927373</v>
      </c>
      <c r="J150" s="24">
        <v>0.05</v>
      </c>
      <c r="K150" s="24">
        <v>1.79</v>
      </c>
    </row>
    <row r="151" spans="1:11" hidden="1" x14ac:dyDescent="0.2">
      <c r="A151" s="22" t="s">
        <v>266</v>
      </c>
      <c r="B151" s="25">
        <v>419</v>
      </c>
      <c r="C151" s="25">
        <v>181</v>
      </c>
      <c r="D151" s="25">
        <v>122</v>
      </c>
      <c r="E151" s="25">
        <v>101</v>
      </c>
      <c r="F151" s="25">
        <v>83</v>
      </c>
      <c r="G151" s="25">
        <v>78</v>
      </c>
      <c r="H151" s="25">
        <v>25</v>
      </c>
      <c r="I151" s="24">
        <v>5.9665871121718374E-2</v>
      </c>
      <c r="J151" s="24">
        <v>7.5163398692810454E-2</v>
      </c>
      <c r="K151" s="24">
        <v>1.369281045751634</v>
      </c>
    </row>
    <row r="152" spans="1:11" hidden="1" x14ac:dyDescent="0.2">
      <c r="A152" s="22" t="s">
        <v>326</v>
      </c>
      <c r="B152" s="25">
        <v>396</v>
      </c>
      <c r="C152" s="25">
        <v>192</v>
      </c>
      <c r="D152" s="25">
        <v>130</v>
      </c>
      <c r="E152" s="25">
        <v>107</v>
      </c>
      <c r="F152" s="25">
        <v>75</v>
      </c>
      <c r="G152" s="25">
        <v>73</v>
      </c>
      <c r="H152" s="25">
        <v>25</v>
      </c>
      <c r="I152" s="24">
        <v>6.3131313131313135E-2</v>
      </c>
      <c r="J152" s="24">
        <v>3.9024390243902439E-2</v>
      </c>
      <c r="K152" s="24">
        <v>1.9317073170731707</v>
      </c>
    </row>
    <row r="153" spans="1:11" x14ac:dyDescent="0.2">
      <c r="A153" s="22" t="s">
        <v>373</v>
      </c>
      <c r="B153" s="25">
        <v>140</v>
      </c>
      <c r="C153" s="25">
        <v>99</v>
      </c>
      <c r="D153" s="25">
        <v>60</v>
      </c>
      <c r="E153" s="25">
        <v>54</v>
      </c>
      <c r="F153" s="25">
        <v>48</v>
      </c>
      <c r="G153" s="25">
        <v>45</v>
      </c>
      <c r="H153" s="25">
        <v>25</v>
      </c>
      <c r="I153" s="24">
        <v>0.17857142857142858</v>
      </c>
      <c r="J153" s="24">
        <v>0.19148936170212766</v>
      </c>
      <c r="K153" s="24">
        <v>2.978723404255319</v>
      </c>
    </row>
    <row r="154" spans="1:11" x14ac:dyDescent="0.2">
      <c r="A154" s="22" t="s">
        <v>676</v>
      </c>
      <c r="B154" s="25">
        <v>109</v>
      </c>
      <c r="C154" s="25">
        <v>101</v>
      </c>
      <c r="D154" s="25">
        <v>83</v>
      </c>
      <c r="E154" s="25">
        <v>74</v>
      </c>
      <c r="F154" s="25">
        <v>53</v>
      </c>
      <c r="G154" s="25">
        <v>49</v>
      </c>
      <c r="H154" s="25">
        <v>24</v>
      </c>
      <c r="I154" s="24">
        <v>0.22018348623853212</v>
      </c>
      <c r="J154" s="24" t="s">
        <v>1233</v>
      </c>
      <c r="K154" s="24">
        <v>0</v>
      </c>
    </row>
    <row r="155" spans="1:11" x14ac:dyDescent="0.2">
      <c r="A155" s="22" t="s">
        <v>576</v>
      </c>
      <c r="B155" s="25">
        <v>164</v>
      </c>
      <c r="C155" s="25">
        <v>119</v>
      </c>
      <c r="D155" s="25">
        <v>84</v>
      </c>
      <c r="E155" s="25">
        <v>74</v>
      </c>
      <c r="F155" s="25">
        <v>64</v>
      </c>
      <c r="G155" s="25">
        <v>63</v>
      </c>
      <c r="H155" s="25">
        <v>24</v>
      </c>
      <c r="I155" s="24">
        <v>0.14634146341463414</v>
      </c>
      <c r="J155" s="24">
        <v>0.10204081632653061</v>
      </c>
      <c r="K155" s="24">
        <v>0.33469387755102042</v>
      </c>
    </row>
    <row r="156" spans="1:11" hidden="1" x14ac:dyDescent="0.2">
      <c r="A156" s="22" t="s">
        <v>470</v>
      </c>
      <c r="B156" s="25">
        <v>235</v>
      </c>
      <c r="C156" s="25">
        <v>144</v>
      </c>
      <c r="D156" s="25">
        <v>94</v>
      </c>
      <c r="E156" s="25">
        <v>73</v>
      </c>
      <c r="F156" s="25">
        <v>54</v>
      </c>
      <c r="G156" s="25">
        <v>51</v>
      </c>
      <c r="H156" s="25">
        <v>23</v>
      </c>
      <c r="I156" s="24">
        <v>9.7872340425531917E-2</v>
      </c>
      <c r="J156" s="24">
        <v>6.25E-2</v>
      </c>
      <c r="K156" s="24">
        <v>1.0491071428571428</v>
      </c>
    </row>
    <row r="157" spans="1:11" hidden="1" x14ac:dyDescent="0.2">
      <c r="A157" s="22" t="s">
        <v>696</v>
      </c>
      <c r="B157" s="25">
        <v>388</v>
      </c>
      <c r="C157" s="25">
        <v>246</v>
      </c>
      <c r="D157" s="25">
        <v>159</v>
      </c>
      <c r="E157" s="25">
        <v>140</v>
      </c>
      <c r="F157" s="25">
        <v>103</v>
      </c>
      <c r="G157" s="25">
        <v>101</v>
      </c>
      <c r="H157" s="25">
        <v>23</v>
      </c>
      <c r="I157" s="24">
        <v>5.9278350515463915E-2</v>
      </c>
      <c r="J157" s="24">
        <v>6.4981949458483748E-2</v>
      </c>
      <c r="K157" s="24">
        <v>1.4007220216606497</v>
      </c>
    </row>
    <row r="158" spans="1:11" hidden="1" x14ac:dyDescent="0.2">
      <c r="A158" s="22" t="s">
        <v>377</v>
      </c>
      <c r="B158" s="25">
        <v>238</v>
      </c>
      <c r="C158" s="25">
        <v>136</v>
      </c>
      <c r="D158" s="25">
        <v>80</v>
      </c>
      <c r="E158" s="25">
        <v>66</v>
      </c>
      <c r="F158" s="25">
        <v>55</v>
      </c>
      <c r="G158" s="25">
        <v>53</v>
      </c>
      <c r="H158" s="25">
        <v>23</v>
      </c>
      <c r="I158" s="24">
        <v>9.6638655462184878E-2</v>
      </c>
      <c r="J158" s="24">
        <v>8.1395348837209308E-2</v>
      </c>
      <c r="K158" s="24">
        <v>2.7674418604651163</v>
      </c>
    </row>
    <row r="159" spans="1:11" hidden="1" x14ac:dyDescent="0.2">
      <c r="A159" s="22" t="s">
        <v>165</v>
      </c>
      <c r="B159" s="25">
        <v>489</v>
      </c>
      <c r="C159" s="25">
        <v>233</v>
      </c>
      <c r="D159" s="25">
        <v>156</v>
      </c>
      <c r="E159" s="25">
        <v>128</v>
      </c>
      <c r="F159" s="25">
        <v>94</v>
      </c>
      <c r="G159" s="25">
        <v>88</v>
      </c>
      <c r="H159" s="25">
        <v>23</v>
      </c>
      <c r="I159" s="24">
        <v>4.7034764826175871E-2</v>
      </c>
      <c r="J159" s="24">
        <v>7.8014184397163122E-2</v>
      </c>
      <c r="K159" s="24">
        <v>1.7340425531914894</v>
      </c>
    </row>
    <row r="160" spans="1:11" hidden="1" x14ac:dyDescent="0.2">
      <c r="A160" s="22" t="s">
        <v>790</v>
      </c>
      <c r="B160" s="25">
        <v>339</v>
      </c>
      <c r="C160" s="25">
        <v>264</v>
      </c>
      <c r="D160" s="25">
        <v>192</v>
      </c>
      <c r="E160" s="25">
        <v>162</v>
      </c>
      <c r="F160" s="25">
        <v>112</v>
      </c>
      <c r="G160" s="25">
        <v>110</v>
      </c>
      <c r="H160" s="25">
        <v>23</v>
      </c>
      <c r="I160" s="24">
        <v>6.7846607669616518E-2</v>
      </c>
      <c r="J160" s="24">
        <v>3.4482758620689655E-2</v>
      </c>
      <c r="K160" s="24">
        <v>2.3379310344827586</v>
      </c>
    </row>
    <row r="161" spans="1:11" x14ac:dyDescent="0.2">
      <c r="A161" s="22" t="s">
        <v>97</v>
      </c>
      <c r="B161" s="25">
        <v>133</v>
      </c>
      <c r="C161" s="25">
        <v>108</v>
      </c>
      <c r="D161" s="25">
        <v>86</v>
      </c>
      <c r="E161" s="25">
        <v>74</v>
      </c>
      <c r="F161" s="25">
        <v>60</v>
      </c>
      <c r="G161" s="25">
        <v>57</v>
      </c>
      <c r="H161" s="25">
        <v>23</v>
      </c>
      <c r="I161" s="24">
        <v>0.17293233082706766</v>
      </c>
      <c r="J161" s="24">
        <v>0.15294117647058825</v>
      </c>
      <c r="K161" s="24">
        <v>0.78235294117647058</v>
      </c>
    </row>
    <row r="162" spans="1:11" hidden="1" x14ac:dyDescent="0.2">
      <c r="A162" s="22" t="s">
        <v>568</v>
      </c>
      <c r="B162" s="25">
        <v>317</v>
      </c>
      <c r="C162" s="25">
        <v>194</v>
      </c>
      <c r="D162" s="25">
        <v>129</v>
      </c>
      <c r="E162" s="25">
        <v>107</v>
      </c>
      <c r="F162" s="25">
        <v>74</v>
      </c>
      <c r="G162" s="25">
        <v>69</v>
      </c>
      <c r="H162" s="25">
        <v>22</v>
      </c>
      <c r="I162" s="24">
        <v>6.9400630914826497E-2</v>
      </c>
      <c r="J162" s="24">
        <v>4.1237113402061855E-2</v>
      </c>
      <c r="K162" s="24">
        <v>3.268041237113402</v>
      </c>
    </row>
    <row r="163" spans="1:11" hidden="1" x14ac:dyDescent="0.2">
      <c r="A163" s="22" t="s">
        <v>736</v>
      </c>
      <c r="B163" s="25">
        <v>352</v>
      </c>
      <c r="C163" s="25">
        <v>140</v>
      </c>
      <c r="D163" s="25">
        <v>94</v>
      </c>
      <c r="E163" s="25">
        <v>76</v>
      </c>
      <c r="F163" s="25">
        <v>63</v>
      </c>
      <c r="G163" s="25">
        <v>56</v>
      </c>
      <c r="H163" s="25">
        <v>22</v>
      </c>
      <c r="I163" s="24">
        <v>6.25E-2</v>
      </c>
      <c r="J163" s="24">
        <v>3.5634743875278395E-2</v>
      </c>
      <c r="K163" s="24">
        <v>0.78396436525612467</v>
      </c>
    </row>
    <row r="164" spans="1:11" x14ac:dyDescent="0.2">
      <c r="A164" s="22" t="s">
        <v>714</v>
      </c>
      <c r="B164" s="25">
        <v>182</v>
      </c>
      <c r="C164" s="25">
        <v>130</v>
      </c>
      <c r="D164" s="25">
        <v>97</v>
      </c>
      <c r="E164" s="25">
        <v>78</v>
      </c>
      <c r="F164" s="25">
        <v>59</v>
      </c>
      <c r="G164" s="25">
        <v>56</v>
      </c>
      <c r="H164" s="25">
        <v>22</v>
      </c>
      <c r="I164" s="24">
        <v>0.12087912087912088</v>
      </c>
      <c r="J164" s="24">
        <v>9.7826086956521743E-2</v>
      </c>
      <c r="K164" s="24">
        <v>1.9782608695652173</v>
      </c>
    </row>
    <row r="165" spans="1:11" x14ac:dyDescent="0.2">
      <c r="A165" s="22" t="s">
        <v>823</v>
      </c>
      <c r="B165" s="25">
        <v>138</v>
      </c>
      <c r="C165" s="25">
        <v>105</v>
      </c>
      <c r="D165" s="25">
        <v>67</v>
      </c>
      <c r="E165" s="25">
        <v>65</v>
      </c>
      <c r="F165" s="25">
        <v>46</v>
      </c>
      <c r="G165" s="25">
        <v>43</v>
      </c>
      <c r="H165" s="25">
        <v>21</v>
      </c>
      <c r="I165" s="24">
        <v>0.15217391304347827</v>
      </c>
      <c r="J165" s="24">
        <v>0.18640350877192982</v>
      </c>
      <c r="K165" s="24">
        <v>0.30263157894736842</v>
      </c>
    </row>
    <row r="166" spans="1:11" x14ac:dyDescent="0.2">
      <c r="A166" s="22" t="s">
        <v>554</v>
      </c>
      <c r="B166" s="25">
        <v>155</v>
      </c>
      <c r="C166" s="25">
        <v>120</v>
      </c>
      <c r="D166" s="25">
        <v>88</v>
      </c>
      <c r="E166" s="25">
        <v>74</v>
      </c>
      <c r="F166" s="25">
        <v>51</v>
      </c>
      <c r="G166" s="25">
        <v>51</v>
      </c>
      <c r="H166" s="25">
        <v>21</v>
      </c>
      <c r="I166" s="24">
        <v>0.13548387096774195</v>
      </c>
      <c r="J166" s="24">
        <v>6.8376068376068383E-2</v>
      </c>
      <c r="K166" s="24">
        <v>1.3247863247863247</v>
      </c>
    </row>
    <row r="167" spans="1:11" x14ac:dyDescent="0.2">
      <c r="A167" s="22" t="s">
        <v>480</v>
      </c>
      <c r="B167" s="25">
        <v>160</v>
      </c>
      <c r="C167" s="25">
        <v>104</v>
      </c>
      <c r="D167" s="25">
        <v>69</v>
      </c>
      <c r="E167" s="25">
        <v>54</v>
      </c>
      <c r="F167" s="25">
        <v>43</v>
      </c>
      <c r="G167" s="25">
        <v>43</v>
      </c>
      <c r="H167" s="25">
        <v>21</v>
      </c>
      <c r="I167" s="24">
        <v>0.13125000000000001</v>
      </c>
      <c r="J167" s="24">
        <v>6.4516129032258063E-2</v>
      </c>
      <c r="K167" s="24">
        <v>1.7204301075268817</v>
      </c>
    </row>
    <row r="168" spans="1:11" x14ac:dyDescent="0.2">
      <c r="A168" s="22" t="s">
        <v>610</v>
      </c>
      <c r="B168" s="25">
        <v>133</v>
      </c>
      <c r="C168" s="25">
        <v>126</v>
      </c>
      <c r="D168" s="25">
        <v>110</v>
      </c>
      <c r="E168" s="25">
        <v>95</v>
      </c>
      <c r="F168" s="25">
        <v>65</v>
      </c>
      <c r="G168" s="25">
        <v>64</v>
      </c>
      <c r="H168" s="25">
        <v>21</v>
      </c>
      <c r="I168" s="24">
        <v>0.15789473684210525</v>
      </c>
      <c r="J168" s="24">
        <v>0.11267605633802817</v>
      </c>
      <c r="K168" s="24">
        <v>1.8732394366197183</v>
      </c>
    </row>
    <row r="169" spans="1:11" hidden="1" x14ac:dyDescent="0.2">
      <c r="A169" s="22" t="s">
        <v>308</v>
      </c>
      <c r="B169" s="25">
        <v>263</v>
      </c>
      <c r="C169" s="25">
        <v>141</v>
      </c>
      <c r="D169" s="25">
        <v>103</v>
      </c>
      <c r="E169" s="25">
        <v>86</v>
      </c>
      <c r="F169" s="25">
        <v>70</v>
      </c>
      <c r="G169" s="25">
        <v>65</v>
      </c>
      <c r="H169" s="25">
        <v>20</v>
      </c>
      <c r="I169" s="24">
        <v>7.6045627376425853E-2</v>
      </c>
      <c r="J169" s="24">
        <v>8.2278481012658222E-2</v>
      </c>
      <c r="K169" s="24">
        <v>1.6645569620253164</v>
      </c>
    </row>
    <row r="170" spans="1:11" x14ac:dyDescent="0.2">
      <c r="A170" s="22" t="s">
        <v>824</v>
      </c>
      <c r="B170" s="25">
        <v>150</v>
      </c>
      <c r="C170" s="25">
        <v>106</v>
      </c>
      <c r="D170" s="25">
        <v>89</v>
      </c>
      <c r="E170" s="25">
        <v>77</v>
      </c>
      <c r="F170" s="25">
        <v>61</v>
      </c>
      <c r="G170" s="25">
        <v>54</v>
      </c>
      <c r="H170" s="25">
        <v>20</v>
      </c>
      <c r="I170" s="24">
        <v>0.13333333333333333</v>
      </c>
      <c r="J170" s="24" t="s">
        <v>1233</v>
      </c>
      <c r="K170" s="24">
        <v>0</v>
      </c>
    </row>
    <row r="171" spans="1:11" x14ac:dyDescent="0.2">
      <c r="A171" s="22" t="s">
        <v>442</v>
      </c>
      <c r="B171" s="25">
        <v>139</v>
      </c>
      <c r="C171" s="25">
        <v>99</v>
      </c>
      <c r="D171" s="25">
        <v>78</v>
      </c>
      <c r="E171" s="25">
        <v>67</v>
      </c>
      <c r="F171" s="25">
        <v>44</v>
      </c>
      <c r="G171" s="25">
        <v>43</v>
      </c>
      <c r="H171" s="25">
        <v>20</v>
      </c>
      <c r="I171" s="24">
        <v>0.14388489208633093</v>
      </c>
      <c r="J171" s="24">
        <v>0.18867924528301888</v>
      </c>
      <c r="K171" s="24">
        <v>2.6226415094339623</v>
      </c>
    </row>
    <row r="172" spans="1:11" hidden="1" x14ac:dyDescent="0.2">
      <c r="A172" s="22" t="s">
        <v>446</v>
      </c>
      <c r="B172" s="25">
        <v>243</v>
      </c>
      <c r="C172" s="25">
        <v>152</v>
      </c>
      <c r="D172" s="25">
        <v>114</v>
      </c>
      <c r="E172" s="25">
        <v>85</v>
      </c>
      <c r="F172" s="25">
        <v>58</v>
      </c>
      <c r="G172" s="25">
        <v>56</v>
      </c>
      <c r="H172" s="25">
        <v>19</v>
      </c>
      <c r="I172" s="24">
        <v>7.8189300411522639E-2</v>
      </c>
      <c r="J172" s="24">
        <v>0.10679611650485436</v>
      </c>
      <c r="K172" s="24">
        <v>2.3592233009708736</v>
      </c>
    </row>
    <row r="173" spans="1:11" hidden="1" x14ac:dyDescent="0.2">
      <c r="A173" s="22" t="s">
        <v>825</v>
      </c>
      <c r="B173" s="25">
        <v>190</v>
      </c>
      <c r="C173" s="25">
        <v>154</v>
      </c>
      <c r="D173" s="25">
        <v>123</v>
      </c>
      <c r="E173" s="25">
        <v>103</v>
      </c>
      <c r="F173" s="25">
        <v>58</v>
      </c>
      <c r="G173" s="25">
        <v>51</v>
      </c>
      <c r="H173" s="25">
        <v>19</v>
      </c>
      <c r="I173" s="24">
        <v>0.1</v>
      </c>
      <c r="J173" s="24" t="s">
        <v>1233</v>
      </c>
      <c r="K173" s="24">
        <v>0</v>
      </c>
    </row>
    <row r="174" spans="1:11" x14ac:dyDescent="0.2">
      <c r="A174" s="22" t="s">
        <v>748</v>
      </c>
      <c r="B174" s="25">
        <v>101</v>
      </c>
      <c r="C174" s="25">
        <v>69</v>
      </c>
      <c r="D174" s="25">
        <v>53</v>
      </c>
      <c r="E174" s="25">
        <v>45</v>
      </c>
      <c r="F174" s="25">
        <v>40</v>
      </c>
      <c r="G174" s="25">
        <v>37</v>
      </c>
      <c r="H174" s="25">
        <v>19</v>
      </c>
      <c r="I174" s="24">
        <v>0.18811881188118812</v>
      </c>
      <c r="J174" s="24">
        <v>9.1743119266055051E-2</v>
      </c>
      <c r="K174" s="24">
        <v>0.92660550458715596</v>
      </c>
    </row>
    <row r="175" spans="1:11" x14ac:dyDescent="0.2">
      <c r="A175" s="22" t="s">
        <v>826</v>
      </c>
      <c r="B175" s="25">
        <v>149</v>
      </c>
      <c r="C175" s="25">
        <v>91</v>
      </c>
      <c r="D175" s="25">
        <v>68</v>
      </c>
      <c r="E175" s="25">
        <v>53</v>
      </c>
      <c r="F175" s="25">
        <v>42</v>
      </c>
      <c r="G175" s="25">
        <v>37</v>
      </c>
      <c r="H175" s="25">
        <v>18</v>
      </c>
      <c r="I175" s="24">
        <v>0.12080536912751678</v>
      </c>
      <c r="J175" s="24">
        <v>0.15151515151515152</v>
      </c>
      <c r="K175" s="24">
        <v>4.5151515151515156</v>
      </c>
    </row>
    <row r="176" spans="1:11" hidden="1" x14ac:dyDescent="0.2">
      <c r="A176" s="22" t="s">
        <v>710</v>
      </c>
      <c r="B176" s="25">
        <v>155</v>
      </c>
      <c r="C176" s="25">
        <v>99</v>
      </c>
      <c r="D176" s="25">
        <v>73</v>
      </c>
      <c r="E176" s="25">
        <v>62</v>
      </c>
      <c r="F176" s="25">
        <v>46</v>
      </c>
      <c r="G176" s="25">
        <v>43</v>
      </c>
      <c r="H176" s="25">
        <v>18</v>
      </c>
      <c r="I176" s="24">
        <v>0.11612903225806452</v>
      </c>
      <c r="J176" s="24">
        <v>9.4339622641509441E-2</v>
      </c>
      <c r="K176" s="24">
        <v>2.9245283018867925</v>
      </c>
    </row>
    <row r="177" spans="1:11" hidden="1" x14ac:dyDescent="0.2">
      <c r="A177" s="22" t="s">
        <v>438</v>
      </c>
      <c r="B177" s="25">
        <v>151</v>
      </c>
      <c r="C177" s="25">
        <v>88</v>
      </c>
      <c r="D177" s="25">
        <v>67</v>
      </c>
      <c r="E177" s="25">
        <v>60</v>
      </c>
      <c r="F177" s="25">
        <v>51</v>
      </c>
      <c r="G177" s="25">
        <v>50</v>
      </c>
      <c r="H177" s="25">
        <v>18</v>
      </c>
      <c r="I177" s="24">
        <v>0.11920529801324503</v>
      </c>
      <c r="J177" s="24">
        <v>0.13043478260869565</v>
      </c>
      <c r="K177" s="24">
        <v>1.6413043478260869</v>
      </c>
    </row>
    <row r="178" spans="1:11" x14ac:dyDescent="0.2">
      <c r="A178" s="22" t="s">
        <v>827</v>
      </c>
      <c r="B178" s="25">
        <v>84</v>
      </c>
      <c r="C178" s="25">
        <v>71</v>
      </c>
      <c r="D178" s="25">
        <v>55</v>
      </c>
      <c r="E178" s="25">
        <v>50</v>
      </c>
      <c r="F178" s="25">
        <v>38</v>
      </c>
      <c r="G178" s="25">
        <v>35</v>
      </c>
      <c r="H178" s="25">
        <v>18</v>
      </c>
      <c r="I178" s="24">
        <v>0.21428571428571427</v>
      </c>
      <c r="J178" s="24" t="s">
        <v>1233</v>
      </c>
      <c r="K178" s="24">
        <v>0</v>
      </c>
    </row>
    <row r="179" spans="1:11" x14ac:dyDescent="0.2">
      <c r="A179" s="22" t="s">
        <v>594</v>
      </c>
      <c r="B179" s="25">
        <v>93</v>
      </c>
      <c r="C179" s="25">
        <v>67</v>
      </c>
      <c r="D179" s="25">
        <v>50</v>
      </c>
      <c r="E179" s="25">
        <v>46</v>
      </c>
      <c r="F179" s="25">
        <v>40</v>
      </c>
      <c r="G179" s="25">
        <v>38</v>
      </c>
      <c r="H179" s="25">
        <v>18</v>
      </c>
      <c r="I179" s="24">
        <v>0.19354838709677419</v>
      </c>
      <c r="J179" s="24">
        <v>0.20375335120643431</v>
      </c>
      <c r="K179" s="24">
        <v>0.24932975871313673</v>
      </c>
    </row>
    <row r="180" spans="1:11" hidden="1" x14ac:dyDescent="0.2">
      <c r="A180" s="22" t="s">
        <v>185</v>
      </c>
      <c r="B180" s="25">
        <v>182</v>
      </c>
      <c r="C180" s="25">
        <v>145</v>
      </c>
      <c r="D180" s="25">
        <v>121</v>
      </c>
      <c r="E180" s="25">
        <v>106</v>
      </c>
      <c r="F180" s="25">
        <v>91</v>
      </c>
      <c r="G180" s="25">
        <v>89</v>
      </c>
      <c r="H180" s="25">
        <v>18</v>
      </c>
      <c r="I180" s="24">
        <v>9.8901098901098897E-2</v>
      </c>
      <c r="J180" s="24">
        <v>1.6666666666666666E-2</v>
      </c>
      <c r="K180" s="24">
        <v>1.0111111111111111</v>
      </c>
    </row>
    <row r="181" spans="1:11" x14ac:dyDescent="0.2">
      <c r="A181" s="22" t="s">
        <v>646</v>
      </c>
      <c r="B181" s="25">
        <v>137</v>
      </c>
      <c r="C181" s="25">
        <v>102</v>
      </c>
      <c r="D181" s="25">
        <v>74</v>
      </c>
      <c r="E181" s="25">
        <v>65</v>
      </c>
      <c r="F181" s="25">
        <v>49</v>
      </c>
      <c r="G181" s="25">
        <v>48</v>
      </c>
      <c r="H181" s="25">
        <v>18</v>
      </c>
      <c r="I181" s="24">
        <v>0.13138686131386862</v>
      </c>
      <c r="J181" s="24">
        <v>0.1</v>
      </c>
      <c r="K181" s="24">
        <v>4.5666666666666664</v>
      </c>
    </row>
    <row r="182" spans="1:11" hidden="1" x14ac:dyDescent="0.2">
      <c r="A182" s="22" t="s">
        <v>828</v>
      </c>
      <c r="B182" s="25">
        <v>185</v>
      </c>
      <c r="C182" s="25">
        <v>158</v>
      </c>
      <c r="D182" s="25">
        <v>122</v>
      </c>
      <c r="E182" s="25">
        <v>90</v>
      </c>
      <c r="F182" s="25">
        <v>72</v>
      </c>
      <c r="G182" s="25">
        <v>71</v>
      </c>
      <c r="H182" s="25">
        <v>17</v>
      </c>
      <c r="I182" s="24">
        <v>9.1891891891891897E-2</v>
      </c>
      <c r="J182" s="24" t="s">
        <v>1233</v>
      </c>
      <c r="K182" s="24">
        <v>0</v>
      </c>
    </row>
    <row r="183" spans="1:11" hidden="1" x14ac:dyDescent="0.2">
      <c r="A183" s="22" t="s">
        <v>275</v>
      </c>
      <c r="B183" s="25">
        <v>248</v>
      </c>
      <c r="C183" s="25">
        <v>104</v>
      </c>
      <c r="D183" s="25">
        <v>63</v>
      </c>
      <c r="E183" s="25">
        <v>57</v>
      </c>
      <c r="F183" s="25">
        <v>44</v>
      </c>
      <c r="G183" s="25">
        <v>43</v>
      </c>
      <c r="H183" s="25">
        <v>17</v>
      </c>
      <c r="I183" s="24">
        <v>6.8548387096774188E-2</v>
      </c>
      <c r="J183" s="24">
        <v>0.05</v>
      </c>
      <c r="K183" s="24">
        <v>2.0666666666666669</v>
      </c>
    </row>
    <row r="184" spans="1:11" x14ac:dyDescent="0.2">
      <c r="A184" s="22" t="s">
        <v>674</v>
      </c>
      <c r="B184" s="25">
        <v>94</v>
      </c>
      <c r="C184" s="25">
        <v>69</v>
      </c>
      <c r="D184" s="25">
        <v>48</v>
      </c>
      <c r="E184" s="25">
        <v>46</v>
      </c>
      <c r="F184" s="25">
        <v>40</v>
      </c>
      <c r="G184" s="25">
        <v>38</v>
      </c>
      <c r="H184" s="25">
        <v>17</v>
      </c>
      <c r="I184" s="24">
        <v>0.18085106382978725</v>
      </c>
      <c r="J184" s="24" t="s">
        <v>1233</v>
      </c>
      <c r="K184" s="24">
        <v>0</v>
      </c>
    </row>
    <row r="185" spans="1:11" x14ac:dyDescent="0.2">
      <c r="A185" s="22" t="s">
        <v>490</v>
      </c>
      <c r="B185" s="25">
        <v>65</v>
      </c>
      <c r="C185" s="25">
        <v>50</v>
      </c>
      <c r="D185" s="25">
        <v>33</v>
      </c>
      <c r="E185" s="25">
        <v>27</v>
      </c>
      <c r="F185" s="25">
        <v>23</v>
      </c>
      <c r="G185" s="25">
        <v>22</v>
      </c>
      <c r="H185" s="25">
        <v>17</v>
      </c>
      <c r="I185" s="24">
        <v>0.26153846153846155</v>
      </c>
      <c r="J185" s="24">
        <v>0.1640625</v>
      </c>
      <c r="K185" s="24">
        <v>0.5078125</v>
      </c>
    </row>
    <row r="186" spans="1:11" x14ac:dyDescent="0.2">
      <c r="A186" s="22" t="s">
        <v>829</v>
      </c>
      <c r="B186" s="25">
        <v>103</v>
      </c>
      <c r="C186" s="25">
        <v>93</v>
      </c>
      <c r="D186" s="25">
        <v>67</v>
      </c>
      <c r="E186" s="25">
        <v>56</v>
      </c>
      <c r="F186" s="25">
        <v>43</v>
      </c>
      <c r="G186" s="25">
        <v>41</v>
      </c>
      <c r="H186" s="25">
        <v>16</v>
      </c>
      <c r="I186" s="24">
        <v>0.1553398058252427</v>
      </c>
      <c r="J186" s="24" t="s">
        <v>1233</v>
      </c>
      <c r="K186" s="24">
        <v>0</v>
      </c>
    </row>
    <row r="187" spans="1:11" hidden="1" x14ac:dyDescent="0.2">
      <c r="A187" s="22" t="s">
        <v>830</v>
      </c>
      <c r="B187" s="25">
        <v>168</v>
      </c>
      <c r="C187" s="25">
        <v>96</v>
      </c>
      <c r="D187" s="25">
        <v>61</v>
      </c>
      <c r="E187" s="25">
        <v>56</v>
      </c>
      <c r="F187" s="25">
        <v>40</v>
      </c>
      <c r="G187" s="25">
        <v>37</v>
      </c>
      <c r="H187" s="25">
        <v>16</v>
      </c>
      <c r="I187" s="24">
        <v>9.5238095238095233E-2</v>
      </c>
      <c r="J187" s="24" t="s">
        <v>1233</v>
      </c>
      <c r="K187" s="24">
        <v>0</v>
      </c>
    </row>
    <row r="188" spans="1:11" x14ac:dyDescent="0.2">
      <c r="A188" s="22" t="s">
        <v>500</v>
      </c>
      <c r="B188" s="25">
        <v>105</v>
      </c>
      <c r="C188" s="25">
        <v>74</v>
      </c>
      <c r="D188" s="25">
        <v>50</v>
      </c>
      <c r="E188" s="25">
        <v>40</v>
      </c>
      <c r="F188" s="25">
        <v>36</v>
      </c>
      <c r="G188" s="25">
        <v>34</v>
      </c>
      <c r="H188" s="25">
        <v>16</v>
      </c>
      <c r="I188" s="24">
        <v>0.15238095238095239</v>
      </c>
      <c r="J188" s="24">
        <v>0.14814814814814814</v>
      </c>
      <c r="K188" s="24">
        <v>0.18518518518518517</v>
      </c>
    </row>
    <row r="189" spans="1:11" hidden="1" x14ac:dyDescent="0.2">
      <c r="A189" s="22" t="s">
        <v>831</v>
      </c>
      <c r="B189" s="25">
        <v>196</v>
      </c>
      <c r="C189" s="25">
        <v>100</v>
      </c>
      <c r="D189" s="25">
        <v>52</v>
      </c>
      <c r="E189" s="25">
        <v>50</v>
      </c>
      <c r="F189" s="25">
        <v>41</v>
      </c>
      <c r="G189" s="25">
        <v>39</v>
      </c>
      <c r="H189" s="25">
        <v>16</v>
      </c>
      <c r="I189" s="24">
        <v>8.1632653061224483E-2</v>
      </c>
      <c r="J189" s="24">
        <v>9.5652173913043481E-2</v>
      </c>
      <c r="K189" s="24">
        <v>1.7043478260869565</v>
      </c>
    </row>
    <row r="190" spans="1:11" x14ac:dyDescent="0.2">
      <c r="A190" s="22" t="s">
        <v>722</v>
      </c>
      <c r="B190" s="25">
        <v>74</v>
      </c>
      <c r="C190" s="25">
        <v>59</v>
      </c>
      <c r="D190" s="25">
        <v>41</v>
      </c>
      <c r="E190" s="25">
        <v>38</v>
      </c>
      <c r="F190" s="25">
        <v>34</v>
      </c>
      <c r="G190" s="25">
        <v>34</v>
      </c>
      <c r="H190" s="25">
        <v>16</v>
      </c>
      <c r="I190" s="24">
        <v>0.21621621621621623</v>
      </c>
      <c r="J190" s="24">
        <v>0.20895522388059701</v>
      </c>
      <c r="K190" s="24">
        <v>1.1044776119402986</v>
      </c>
    </row>
    <row r="191" spans="1:11" hidden="1" x14ac:dyDescent="0.2">
      <c r="A191" s="22" t="s">
        <v>259</v>
      </c>
      <c r="B191" s="25">
        <v>159</v>
      </c>
      <c r="C191" s="25">
        <v>78</v>
      </c>
      <c r="D191" s="25">
        <v>58</v>
      </c>
      <c r="E191" s="25">
        <v>51</v>
      </c>
      <c r="F191" s="25">
        <v>42</v>
      </c>
      <c r="G191" s="25">
        <v>40</v>
      </c>
      <c r="H191" s="25">
        <v>15</v>
      </c>
      <c r="I191" s="24">
        <v>9.4339622641509441E-2</v>
      </c>
      <c r="J191" s="24" t="s">
        <v>1233</v>
      </c>
      <c r="K191" s="24">
        <v>0</v>
      </c>
    </row>
    <row r="192" spans="1:11" x14ac:dyDescent="0.2">
      <c r="A192" s="22" t="s">
        <v>832</v>
      </c>
      <c r="B192" s="25">
        <v>61</v>
      </c>
      <c r="C192" s="25">
        <v>54</v>
      </c>
      <c r="D192" s="25">
        <v>43</v>
      </c>
      <c r="E192" s="25">
        <v>38</v>
      </c>
      <c r="F192" s="25">
        <v>31</v>
      </c>
      <c r="G192" s="25">
        <v>30</v>
      </c>
      <c r="H192" s="25">
        <v>15</v>
      </c>
      <c r="I192" s="24">
        <v>0.24590163934426229</v>
      </c>
      <c r="J192" s="24" t="s">
        <v>1233</v>
      </c>
      <c r="K192" s="24">
        <v>0</v>
      </c>
    </row>
    <row r="193" spans="1:11" hidden="1" x14ac:dyDescent="0.2">
      <c r="A193" s="22" t="s">
        <v>330</v>
      </c>
      <c r="B193" s="25">
        <v>269</v>
      </c>
      <c r="C193" s="25">
        <v>120</v>
      </c>
      <c r="D193" s="25">
        <v>84</v>
      </c>
      <c r="E193" s="25">
        <v>68</v>
      </c>
      <c r="F193" s="25">
        <v>51</v>
      </c>
      <c r="G193" s="25">
        <v>48</v>
      </c>
      <c r="H193" s="25">
        <v>15</v>
      </c>
      <c r="I193" s="24">
        <v>5.5762081784386616E-2</v>
      </c>
      <c r="J193" s="24" t="s">
        <v>1233</v>
      </c>
      <c r="K193" s="24">
        <v>0</v>
      </c>
    </row>
    <row r="194" spans="1:11" hidden="1" x14ac:dyDescent="0.2">
      <c r="A194" s="22" t="s">
        <v>462</v>
      </c>
      <c r="B194" s="25">
        <v>147</v>
      </c>
      <c r="C194" s="25">
        <v>112</v>
      </c>
      <c r="D194" s="25">
        <v>89</v>
      </c>
      <c r="E194" s="25">
        <v>81</v>
      </c>
      <c r="F194" s="25">
        <v>52</v>
      </c>
      <c r="G194" s="25">
        <v>48</v>
      </c>
      <c r="H194" s="25">
        <v>15</v>
      </c>
      <c r="I194" s="24">
        <v>0.10204081632653061</v>
      </c>
      <c r="J194" s="24">
        <v>0.15476190476190477</v>
      </c>
      <c r="K194" s="24">
        <v>1.75</v>
      </c>
    </row>
    <row r="195" spans="1:11" hidden="1" x14ac:dyDescent="0.2">
      <c r="A195" s="22" t="s">
        <v>347</v>
      </c>
      <c r="B195" s="25">
        <v>214</v>
      </c>
      <c r="C195" s="25">
        <v>118</v>
      </c>
      <c r="D195" s="25">
        <v>67</v>
      </c>
      <c r="E195" s="25">
        <v>58</v>
      </c>
      <c r="F195" s="25">
        <v>48</v>
      </c>
      <c r="G195" s="25">
        <v>45</v>
      </c>
      <c r="H195" s="25">
        <v>15</v>
      </c>
      <c r="I195" s="24">
        <v>7.0093457943925228E-2</v>
      </c>
      <c r="J195" s="24">
        <v>2.9411764705882353E-2</v>
      </c>
      <c r="K195" s="24">
        <v>2.0980392156862746</v>
      </c>
    </row>
    <row r="196" spans="1:11" hidden="1" x14ac:dyDescent="0.2">
      <c r="A196" s="22" t="s">
        <v>833</v>
      </c>
      <c r="B196" s="25">
        <v>128</v>
      </c>
      <c r="C196" s="25">
        <v>80</v>
      </c>
      <c r="D196" s="25">
        <v>55</v>
      </c>
      <c r="E196" s="25">
        <v>44</v>
      </c>
      <c r="F196" s="25">
        <v>34</v>
      </c>
      <c r="G196" s="25">
        <v>33</v>
      </c>
      <c r="H196" s="25">
        <v>15</v>
      </c>
      <c r="I196" s="24">
        <v>0.1171875</v>
      </c>
      <c r="J196" s="24">
        <v>0.11764705882352941</v>
      </c>
      <c r="K196" s="24">
        <v>3.7647058823529411</v>
      </c>
    </row>
    <row r="197" spans="1:11" hidden="1" x14ac:dyDescent="0.2">
      <c r="A197" s="22" t="s">
        <v>834</v>
      </c>
      <c r="B197" s="25">
        <v>178</v>
      </c>
      <c r="C197" s="25">
        <v>73</v>
      </c>
      <c r="D197" s="25">
        <v>48</v>
      </c>
      <c r="E197" s="25">
        <v>39</v>
      </c>
      <c r="F197" s="25">
        <v>30</v>
      </c>
      <c r="G197" s="25">
        <v>29</v>
      </c>
      <c r="H197" s="25">
        <v>14</v>
      </c>
      <c r="I197" s="24">
        <v>7.8651685393258425E-2</v>
      </c>
      <c r="J197" s="24" t="s">
        <v>1233</v>
      </c>
      <c r="K197" s="24">
        <v>0</v>
      </c>
    </row>
    <row r="198" spans="1:11" hidden="1" x14ac:dyDescent="0.2">
      <c r="A198" s="22" t="s">
        <v>444</v>
      </c>
      <c r="B198" s="25">
        <v>117</v>
      </c>
      <c r="C198" s="25">
        <v>65</v>
      </c>
      <c r="D198" s="25">
        <v>43</v>
      </c>
      <c r="E198" s="25">
        <v>37</v>
      </c>
      <c r="F198" s="25">
        <v>29</v>
      </c>
      <c r="G198" s="25">
        <v>29</v>
      </c>
      <c r="H198" s="25">
        <v>14</v>
      </c>
      <c r="I198" s="24">
        <v>0.11965811965811966</v>
      </c>
      <c r="J198" s="24">
        <v>0.14516129032258066</v>
      </c>
      <c r="K198" s="24">
        <v>1.8870967741935485</v>
      </c>
    </row>
    <row r="199" spans="1:11" hidden="1" x14ac:dyDescent="0.2">
      <c r="A199" s="22" t="s">
        <v>361</v>
      </c>
      <c r="B199" s="25">
        <v>364</v>
      </c>
      <c r="C199" s="25">
        <v>149</v>
      </c>
      <c r="D199" s="25">
        <v>91</v>
      </c>
      <c r="E199" s="25">
        <v>76</v>
      </c>
      <c r="F199" s="25">
        <v>55</v>
      </c>
      <c r="G199" s="25">
        <v>54</v>
      </c>
      <c r="H199" s="25">
        <v>14</v>
      </c>
      <c r="I199" s="24">
        <v>3.8461538461538464E-2</v>
      </c>
      <c r="J199" s="24">
        <v>3.3149171270718231E-2</v>
      </c>
      <c r="K199" s="24">
        <v>2.0110497237569063</v>
      </c>
    </row>
    <row r="200" spans="1:11" x14ac:dyDescent="0.2">
      <c r="A200" s="22" t="s">
        <v>835</v>
      </c>
      <c r="B200" s="25">
        <v>110</v>
      </c>
      <c r="C200" s="25">
        <v>61</v>
      </c>
      <c r="D200" s="25">
        <v>48</v>
      </c>
      <c r="E200" s="25">
        <v>39</v>
      </c>
      <c r="F200" s="25">
        <v>35</v>
      </c>
      <c r="G200" s="25">
        <v>32</v>
      </c>
      <c r="H200" s="25">
        <v>14</v>
      </c>
      <c r="I200" s="24">
        <v>0.12727272727272726</v>
      </c>
      <c r="J200" s="24">
        <v>0.1270718232044199</v>
      </c>
      <c r="K200" s="24">
        <v>0.60773480662983426</v>
      </c>
    </row>
    <row r="201" spans="1:11" x14ac:dyDescent="0.2">
      <c r="A201" s="22" t="s">
        <v>450</v>
      </c>
      <c r="B201" s="25">
        <v>66</v>
      </c>
      <c r="C201" s="25">
        <v>53</v>
      </c>
      <c r="D201" s="25">
        <v>43</v>
      </c>
      <c r="E201" s="25">
        <v>36</v>
      </c>
      <c r="F201" s="25">
        <v>26</v>
      </c>
      <c r="G201" s="25">
        <v>25</v>
      </c>
      <c r="H201" s="25">
        <v>14</v>
      </c>
      <c r="I201" s="24">
        <v>0.21212121212121213</v>
      </c>
      <c r="J201" s="24" t="s">
        <v>1233</v>
      </c>
      <c r="K201" s="24">
        <v>0</v>
      </c>
    </row>
    <row r="202" spans="1:11" hidden="1" x14ac:dyDescent="0.2">
      <c r="A202" s="22" t="s">
        <v>277</v>
      </c>
      <c r="B202" s="25">
        <v>138</v>
      </c>
      <c r="C202" s="25">
        <v>90</v>
      </c>
      <c r="D202" s="25">
        <v>66</v>
      </c>
      <c r="E202" s="25">
        <v>62</v>
      </c>
      <c r="F202" s="25">
        <v>48</v>
      </c>
      <c r="G202" s="25">
        <v>46</v>
      </c>
      <c r="H202" s="25">
        <v>14</v>
      </c>
      <c r="I202" s="24">
        <v>0.10144927536231885</v>
      </c>
      <c r="J202" s="24">
        <v>0.12307692307692308</v>
      </c>
      <c r="K202" s="24">
        <v>1.0615384615384615</v>
      </c>
    </row>
    <row r="203" spans="1:11" x14ac:dyDescent="0.2">
      <c r="A203" s="22" t="s">
        <v>632</v>
      </c>
      <c r="B203" s="25">
        <v>116</v>
      </c>
      <c r="C203" s="25">
        <v>88</v>
      </c>
      <c r="D203" s="25">
        <v>61</v>
      </c>
      <c r="E203" s="25">
        <v>53</v>
      </c>
      <c r="F203" s="25">
        <v>41</v>
      </c>
      <c r="G203" s="25">
        <v>39</v>
      </c>
      <c r="H203" s="25">
        <v>14</v>
      </c>
      <c r="I203" s="24">
        <v>0.1206896551724138</v>
      </c>
      <c r="J203" s="24">
        <v>0.19354838709677419</v>
      </c>
      <c r="K203" s="24">
        <v>1.2473118279569892</v>
      </c>
    </row>
    <row r="204" spans="1:11" x14ac:dyDescent="0.2">
      <c r="A204" s="22" t="s">
        <v>836</v>
      </c>
      <c r="B204" s="25">
        <v>57</v>
      </c>
      <c r="C204" s="25">
        <v>38</v>
      </c>
      <c r="D204" s="25">
        <v>29</v>
      </c>
      <c r="E204" s="25">
        <v>25</v>
      </c>
      <c r="F204" s="25">
        <v>21</v>
      </c>
      <c r="G204" s="25">
        <v>21</v>
      </c>
      <c r="H204" s="25">
        <v>14</v>
      </c>
      <c r="I204" s="24">
        <v>0.24561403508771928</v>
      </c>
      <c r="J204" s="24">
        <v>0.15789473684210525</v>
      </c>
      <c r="K204" s="24">
        <v>3</v>
      </c>
    </row>
    <row r="205" spans="1:11" hidden="1" x14ac:dyDescent="0.2">
      <c r="A205" s="22" t="s">
        <v>512</v>
      </c>
      <c r="B205" s="25">
        <v>573</v>
      </c>
      <c r="C205" s="25">
        <v>474</v>
      </c>
      <c r="D205" s="25">
        <v>330</v>
      </c>
      <c r="E205" s="25">
        <v>269</v>
      </c>
      <c r="F205" s="25">
        <v>183</v>
      </c>
      <c r="G205" s="25">
        <v>179</v>
      </c>
      <c r="H205" s="25">
        <v>14</v>
      </c>
      <c r="I205" s="24">
        <v>2.4432809773123908E-2</v>
      </c>
      <c r="J205" s="24" t="s">
        <v>1233</v>
      </c>
      <c r="K205" s="24">
        <v>0</v>
      </c>
    </row>
    <row r="206" spans="1:11" hidden="1" x14ac:dyDescent="0.2">
      <c r="A206" s="22" t="s">
        <v>341</v>
      </c>
      <c r="B206" s="25">
        <v>155</v>
      </c>
      <c r="C206" s="25">
        <v>98</v>
      </c>
      <c r="D206" s="25">
        <v>68</v>
      </c>
      <c r="E206" s="25">
        <v>56</v>
      </c>
      <c r="F206" s="25">
        <v>47</v>
      </c>
      <c r="G206" s="25">
        <v>47</v>
      </c>
      <c r="H206" s="25">
        <v>14</v>
      </c>
      <c r="I206" s="24">
        <v>9.0322580645161285E-2</v>
      </c>
      <c r="J206" s="24">
        <v>0.1388888888888889</v>
      </c>
      <c r="K206" s="24">
        <v>1.4351851851851851</v>
      </c>
    </row>
    <row r="207" spans="1:11" hidden="1" x14ac:dyDescent="0.2">
      <c r="A207" s="22" t="s">
        <v>764</v>
      </c>
      <c r="B207" s="25">
        <v>152</v>
      </c>
      <c r="C207" s="25">
        <v>99</v>
      </c>
      <c r="D207" s="25">
        <v>73</v>
      </c>
      <c r="E207" s="25">
        <v>62</v>
      </c>
      <c r="F207" s="25">
        <v>43</v>
      </c>
      <c r="G207" s="25">
        <v>43</v>
      </c>
      <c r="H207" s="25">
        <v>14</v>
      </c>
      <c r="I207" s="24">
        <v>9.2105263157894732E-2</v>
      </c>
      <c r="J207" s="24">
        <v>9.0163934426229511E-2</v>
      </c>
      <c r="K207" s="24">
        <v>1.2459016393442623</v>
      </c>
    </row>
    <row r="208" spans="1:11" x14ac:dyDescent="0.2">
      <c r="A208" s="22" t="s">
        <v>550</v>
      </c>
      <c r="B208" s="25">
        <v>95</v>
      </c>
      <c r="C208" s="25">
        <v>72</v>
      </c>
      <c r="D208" s="25">
        <v>54</v>
      </c>
      <c r="E208" s="25">
        <v>45</v>
      </c>
      <c r="F208" s="25">
        <v>37</v>
      </c>
      <c r="G208" s="25">
        <v>37</v>
      </c>
      <c r="H208" s="25">
        <v>13</v>
      </c>
      <c r="I208" s="24">
        <v>0.1368421052631579</v>
      </c>
      <c r="J208" s="24">
        <v>9.6774193548387094E-2</v>
      </c>
      <c r="K208" s="24">
        <v>1.532258064516129</v>
      </c>
    </row>
    <row r="209" spans="1:11" hidden="1" x14ac:dyDescent="0.2">
      <c r="A209" s="22" t="s">
        <v>694</v>
      </c>
      <c r="B209" s="25">
        <v>155</v>
      </c>
      <c r="C209" s="25">
        <v>99</v>
      </c>
      <c r="D209" s="25">
        <v>66</v>
      </c>
      <c r="E209" s="25">
        <v>52</v>
      </c>
      <c r="F209" s="25">
        <v>40</v>
      </c>
      <c r="G209" s="25">
        <v>39</v>
      </c>
      <c r="H209" s="25">
        <v>13</v>
      </c>
      <c r="I209" s="24">
        <v>8.387096774193549E-2</v>
      </c>
      <c r="J209" s="24">
        <v>3.7974683544303799E-2</v>
      </c>
      <c r="K209" s="24">
        <v>1.9620253164556962</v>
      </c>
    </row>
    <row r="210" spans="1:11" x14ac:dyDescent="0.2">
      <c r="A210" s="22" t="s">
        <v>700</v>
      </c>
      <c r="B210" s="25">
        <v>82</v>
      </c>
      <c r="C210" s="25">
        <v>59</v>
      </c>
      <c r="D210" s="25">
        <v>43</v>
      </c>
      <c r="E210" s="25">
        <v>37</v>
      </c>
      <c r="F210" s="25">
        <v>31</v>
      </c>
      <c r="G210" s="25">
        <v>31</v>
      </c>
      <c r="H210" s="25">
        <v>13</v>
      </c>
      <c r="I210" s="24">
        <v>0.15853658536585366</v>
      </c>
      <c r="J210" s="24">
        <v>0.125</v>
      </c>
      <c r="K210" s="24">
        <v>1.0249999999999999</v>
      </c>
    </row>
    <row r="211" spans="1:11" x14ac:dyDescent="0.2">
      <c r="A211" s="22" t="s">
        <v>760</v>
      </c>
      <c r="B211" s="25">
        <v>100</v>
      </c>
      <c r="C211" s="25">
        <v>70</v>
      </c>
      <c r="D211" s="25">
        <v>59</v>
      </c>
      <c r="E211" s="25">
        <v>52</v>
      </c>
      <c r="F211" s="25">
        <v>41</v>
      </c>
      <c r="G211" s="25">
        <v>36</v>
      </c>
      <c r="H211" s="25">
        <v>13</v>
      </c>
      <c r="I211" s="24">
        <v>0.13</v>
      </c>
      <c r="J211" s="24">
        <v>0.1076923076923077</v>
      </c>
      <c r="K211" s="24">
        <v>1.5384615384615385</v>
      </c>
    </row>
    <row r="212" spans="1:11" x14ac:dyDescent="0.2">
      <c r="A212" s="22" t="s">
        <v>837</v>
      </c>
      <c r="B212" s="25">
        <v>105</v>
      </c>
      <c r="C212" s="25">
        <v>64</v>
      </c>
      <c r="D212" s="25">
        <v>49</v>
      </c>
      <c r="E212" s="25">
        <v>41</v>
      </c>
      <c r="F212" s="25">
        <v>35</v>
      </c>
      <c r="G212" s="25">
        <v>34</v>
      </c>
      <c r="H212" s="25">
        <v>13</v>
      </c>
      <c r="I212" s="24">
        <v>0.12380952380952381</v>
      </c>
      <c r="J212" s="24">
        <v>8.1395348837209308E-2</v>
      </c>
      <c r="K212" s="24">
        <v>1.2209302325581395</v>
      </c>
    </row>
    <row r="213" spans="1:11" hidden="1" x14ac:dyDescent="0.2">
      <c r="A213" s="22" t="s">
        <v>255</v>
      </c>
      <c r="B213" s="25">
        <v>273</v>
      </c>
      <c r="C213" s="25">
        <v>89</v>
      </c>
      <c r="D213" s="25">
        <v>69</v>
      </c>
      <c r="E213" s="25">
        <v>58</v>
      </c>
      <c r="F213" s="25">
        <v>42</v>
      </c>
      <c r="G213" s="25">
        <v>40</v>
      </c>
      <c r="H213" s="25">
        <v>12</v>
      </c>
      <c r="I213" s="24">
        <v>4.3956043956043959E-2</v>
      </c>
      <c r="J213" s="24" t="s">
        <v>1233</v>
      </c>
      <c r="K213" s="24">
        <v>0</v>
      </c>
    </row>
    <row r="214" spans="1:11" x14ac:dyDescent="0.2">
      <c r="A214" s="22" t="s">
        <v>606</v>
      </c>
      <c r="B214" s="25">
        <v>97</v>
      </c>
      <c r="C214" s="25">
        <v>75</v>
      </c>
      <c r="D214" s="25">
        <v>59</v>
      </c>
      <c r="E214" s="25">
        <v>42</v>
      </c>
      <c r="F214" s="25">
        <v>35</v>
      </c>
      <c r="G214" s="25">
        <v>32</v>
      </c>
      <c r="H214" s="25">
        <v>12</v>
      </c>
      <c r="I214" s="24">
        <v>0.12371134020618557</v>
      </c>
      <c r="J214" s="24">
        <v>0.20202020202020202</v>
      </c>
      <c r="K214" s="24">
        <v>0.32659932659932661</v>
      </c>
    </row>
    <row r="215" spans="1:11" hidden="1" x14ac:dyDescent="0.2">
      <c r="A215" s="22" t="s">
        <v>634</v>
      </c>
      <c r="B215" s="25">
        <v>116</v>
      </c>
      <c r="C215" s="25">
        <v>78</v>
      </c>
      <c r="D215" s="25">
        <v>51</v>
      </c>
      <c r="E215" s="25">
        <v>43</v>
      </c>
      <c r="F215" s="25">
        <v>27</v>
      </c>
      <c r="G215" s="25">
        <v>27</v>
      </c>
      <c r="H215" s="25">
        <v>12</v>
      </c>
      <c r="I215" s="24">
        <v>0.10344827586206896</v>
      </c>
      <c r="J215" s="24">
        <v>6.4000000000000001E-2</v>
      </c>
      <c r="K215" s="24">
        <v>0.92800000000000005</v>
      </c>
    </row>
    <row r="216" spans="1:11" hidden="1" x14ac:dyDescent="0.2">
      <c r="A216" s="22" t="s">
        <v>838</v>
      </c>
      <c r="B216" s="25">
        <v>111</v>
      </c>
      <c r="C216" s="25">
        <v>56</v>
      </c>
      <c r="D216" s="25">
        <v>42</v>
      </c>
      <c r="E216" s="25">
        <v>36</v>
      </c>
      <c r="F216" s="25">
        <v>25</v>
      </c>
      <c r="G216" s="25">
        <v>19</v>
      </c>
      <c r="H216" s="25">
        <v>12</v>
      </c>
      <c r="I216" s="24">
        <v>0.10810810810810811</v>
      </c>
      <c r="J216" s="24">
        <v>6.6666666666666666E-2</v>
      </c>
      <c r="K216" s="24">
        <v>1.2333333333333334</v>
      </c>
    </row>
    <row r="217" spans="1:11" x14ac:dyDescent="0.2">
      <c r="A217" s="22" t="s">
        <v>660</v>
      </c>
      <c r="B217" s="25">
        <v>86</v>
      </c>
      <c r="C217" s="25">
        <v>67</v>
      </c>
      <c r="D217" s="25">
        <v>48</v>
      </c>
      <c r="E217" s="25">
        <v>44</v>
      </c>
      <c r="F217" s="25">
        <v>31</v>
      </c>
      <c r="G217" s="25">
        <v>27</v>
      </c>
      <c r="H217" s="25">
        <v>12</v>
      </c>
      <c r="I217" s="24">
        <v>0.13953488372093023</v>
      </c>
      <c r="J217" s="24" t="s">
        <v>1233</v>
      </c>
      <c r="K217" s="24">
        <v>0</v>
      </c>
    </row>
    <row r="218" spans="1:11" x14ac:dyDescent="0.2">
      <c r="A218" s="22" t="s">
        <v>839</v>
      </c>
      <c r="B218" s="25">
        <v>51</v>
      </c>
      <c r="C218" s="25">
        <v>38</v>
      </c>
      <c r="D218" s="25">
        <v>29</v>
      </c>
      <c r="E218" s="25">
        <v>25</v>
      </c>
      <c r="F218" s="25">
        <v>18</v>
      </c>
      <c r="G218" s="25">
        <v>18</v>
      </c>
      <c r="H218" s="25">
        <v>12</v>
      </c>
      <c r="I218" s="24">
        <v>0.23529411764705882</v>
      </c>
      <c r="J218" s="24" t="s">
        <v>1233</v>
      </c>
      <c r="K218" s="24">
        <v>0</v>
      </c>
    </row>
    <row r="219" spans="1:11" hidden="1" x14ac:dyDescent="0.2">
      <c r="A219" s="22" t="s">
        <v>840</v>
      </c>
      <c r="B219" s="25">
        <v>125</v>
      </c>
      <c r="C219" s="25">
        <v>75</v>
      </c>
      <c r="D219" s="25">
        <v>57</v>
      </c>
      <c r="E219" s="25">
        <v>48</v>
      </c>
      <c r="F219" s="25">
        <v>30</v>
      </c>
      <c r="G219" s="25">
        <v>27</v>
      </c>
      <c r="H219" s="25">
        <v>12</v>
      </c>
      <c r="I219" s="24">
        <v>9.6000000000000002E-2</v>
      </c>
      <c r="J219" s="24">
        <v>7.9365079365079361E-2</v>
      </c>
      <c r="K219" s="24">
        <v>0.99206349206349209</v>
      </c>
    </row>
    <row r="220" spans="1:11" hidden="1" x14ac:dyDescent="0.2">
      <c r="A220" s="22" t="s">
        <v>841</v>
      </c>
      <c r="B220" s="25">
        <v>282</v>
      </c>
      <c r="C220" s="25">
        <v>137</v>
      </c>
      <c r="D220" s="25">
        <v>72</v>
      </c>
      <c r="E220" s="25">
        <v>58</v>
      </c>
      <c r="F220" s="25">
        <v>40</v>
      </c>
      <c r="G220" s="25">
        <v>36</v>
      </c>
      <c r="H220" s="25">
        <v>12</v>
      </c>
      <c r="I220" s="24">
        <v>4.2553191489361701E-2</v>
      </c>
      <c r="J220" s="24">
        <v>6.6666666666666666E-2</v>
      </c>
      <c r="K220" s="24">
        <v>2.6857142857142855</v>
      </c>
    </row>
    <row r="221" spans="1:11" hidden="1" x14ac:dyDescent="0.2">
      <c r="A221" s="22" t="s">
        <v>538</v>
      </c>
      <c r="B221" s="25">
        <v>243</v>
      </c>
      <c r="C221" s="25">
        <v>201</v>
      </c>
      <c r="D221" s="25">
        <v>169</v>
      </c>
      <c r="E221" s="25">
        <v>132</v>
      </c>
      <c r="F221" s="25">
        <v>100</v>
      </c>
      <c r="G221" s="25">
        <v>98</v>
      </c>
      <c r="H221" s="25">
        <v>12</v>
      </c>
      <c r="I221" s="24">
        <v>4.9382716049382713E-2</v>
      </c>
      <c r="J221" s="24">
        <v>1</v>
      </c>
      <c r="K221" s="24">
        <v>243</v>
      </c>
    </row>
    <row r="222" spans="1:11" x14ac:dyDescent="0.2">
      <c r="A222" s="22" t="s">
        <v>842</v>
      </c>
      <c r="B222" s="25">
        <v>74</v>
      </c>
      <c r="C222" s="25">
        <v>50</v>
      </c>
      <c r="D222" s="25">
        <v>36</v>
      </c>
      <c r="E222" s="25">
        <v>33</v>
      </c>
      <c r="F222" s="25">
        <v>27</v>
      </c>
      <c r="G222" s="25">
        <v>24</v>
      </c>
      <c r="H222" s="25">
        <v>12</v>
      </c>
      <c r="I222" s="24">
        <v>0.16216216216216217</v>
      </c>
      <c r="J222" s="24">
        <v>0.10714285714285714</v>
      </c>
      <c r="K222" s="24">
        <v>1.3214285714285714</v>
      </c>
    </row>
    <row r="223" spans="1:11" hidden="1" x14ac:dyDescent="0.2">
      <c r="A223" s="22" t="s">
        <v>407</v>
      </c>
      <c r="B223" s="25">
        <v>236</v>
      </c>
      <c r="C223" s="25">
        <v>86</v>
      </c>
      <c r="D223" s="25">
        <v>54</v>
      </c>
      <c r="E223" s="25">
        <v>40</v>
      </c>
      <c r="F223" s="25">
        <v>28</v>
      </c>
      <c r="G223" s="25">
        <v>24</v>
      </c>
      <c r="H223" s="25">
        <v>11</v>
      </c>
      <c r="I223" s="24">
        <v>4.6610169491525424E-2</v>
      </c>
      <c r="J223" s="24">
        <v>2.8571428571428571E-2</v>
      </c>
      <c r="K223" s="24">
        <v>6.7428571428571429</v>
      </c>
    </row>
    <row r="224" spans="1:11" hidden="1" x14ac:dyDescent="0.2">
      <c r="A224" s="22" t="s">
        <v>728</v>
      </c>
      <c r="B224" s="25">
        <v>142</v>
      </c>
      <c r="C224" s="25">
        <v>67</v>
      </c>
      <c r="D224" s="25">
        <v>51</v>
      </c>
      <c r="E224" s="25">
        <v>44</v>
      </c>
      <c r="F224" s="25">
        <v>35</v>
      </c>
      <c r="G224" s="25">
        <v>34</v>
      </c>
      <c r="H224" s="25">
        <v>11</v>
      </c>
      <c r="I224" s="24">
        <v>7.746478873239436E-2</v>
      </c>
      <c r="J224" s="24" t="s">
        <v>1233</v>
      </c>
      <c r="K224" s="24">
        <v>0</v>
      </c>
    </row>
    <row r="225" spans="1:11" x14ac:dyDescent="0.2">
      <c r="A225" s="22" t="s">
        <v>636</v>
      </c>
      <c r="B225" s="25">
        <v>79</v>
      </c>
      <c r="C225" s="25">
        <v>59</v>
      </c>
      <c r="D225" s="25">
        <v>43</v>
      </c>
      <c r="E225" s="25">
        <v>37</v>
      </c>
      <c r="F225" s="25">
        <v>36</v>
      </c>
      <c r="G225" s="25">
        <v>34</v>
      </c>
      <c r="H225" s="25">
        <v>11</v>
      </c>
      <c r="I225" s="24">
        <v>0.13924050632911392</v>
      </c>
      <c r="J225" s="24">
        <v>7.6923076923076927E-2</v>
      </c>
      <c r="K225" s="24">
        <v>1.2153846153846153</v>
      </c>
    </row>
    <row r="226" spans="1:11" hidden="1" x14ac:dyDescent="0.2">
      <c r="A226" s="22" t="s">
        <v>310</v>
      </c>
      <c r="B226" s="25">
        <v>142</v>
      </c>
      <c r="C226" s="25">
        <v>60</v>
      </c>
      <c r="D226" s="25">
        <v>43</v>
      </c>
      <c r="E226" s="25">
        <v>36</v>
      </c>
      <c r="F226" s="25">
        <v>30</v>
      </c>
      <c r="G226" s="25">
        <v>29</v>
      </c>
      <c r="H226" s="25">
        <v>11</v>
      </c>
      <c r="I226" s="24">
        <v>7.746478873239436E-2</v>
      </c>
      <c r="J226" s="24">
        <v>0.13043478260869565</v>
      </c>
      <c r="K226" s="24">
        <v>2.0579710144927534</v>
      </c>
    </row>
    <row r="227" spans="1:11" hidden="1" x14ac:dyDescent="0.2">
      <c r="A227" s="22" t="s">
        <v>566</v>
      </c>
      <c r="B227" s="25">
        <v>163</v>
      </c>
      <c r="C227" s="25">
        <v>105</v>
      </c>
      <c r="D227" s="25">
        <v>74</v>
      </c>
      <c r="E227" s="25">
        <v>60</v>
      </c>
      <c r="F227" s="25">
        <v>45</v>
      </c>
      <c r="G227" s="25">
        <v>44</v>
      </c>
      <c r="H227" s="25">
        <v>11</v>
      </c>
      <c r="I227" s="24">
        <v>6.7484662576687116E-2</v>
      </c>
      <c r="J227" s="24">
        <v>5.6603773584905662E-2</v>
      </c>
      <c r="K227" s="24">
        <v>3.0754716981132075</v>
      </c>
    </row>
    <row r="228" spans="1:11" hidden="1" x14ac:dyDescent="0.2">
      <c r="A228" s="22" t="s">
        <v>262</v>
      </c>
      <c r="B228" s="25">
        <v>138</v>
      </c>
      <c r="C228" s="25">
        <v>72</v>
      </c>
      <c r="D228" s="25">
        <v>49</v>
      </c>
      <c r="E228" s="25">
        <v>40</v>
      </c>
      <c r="F228" s="25">
        <v>33</v>
      </c>
      <c r="G228" s="25">
        <v>32</v>
      </c>
      <c r="H228" s="25">
        <v>11</v>
      </c>
      <c r="I228" s="24">
        <v>7.9710144927536225E-2</v>
      </c>
      <c r="J228" s="24">
        <v>6.9767441860465115E-2</v>
      </c>
      <c r="K228" s="24">
        <v>1.069767441860465</v>
      </c>
    </row>
    <row r="229" spans="1:11" hidden="1" x14ac:dyDescent="0.2">
      <c r="A229" s="22" t="s">
        <v>843</v>
      </c>
      <c r="B229" s="25">
        <v>135</v>
      </c>
      <c r="C229" s="25">
        <v>109</v>
      </c>
      <c r="D229" s="25">
        <v>98</v>
      </c>
      <c r="E229" s="25">
        <v>83</v>
      </c>
      <c r="F229" s="25">
        <v>59</v>
      </c>
      <c r="G229" s="25">
        <v>56</v>
      </c>
      <c r="H229" s="25">
        <v>11</v>
      </c>
      <c r="I229" s="24">
        <v>8.1481481481481488E-2</v>
      </c>
      <c r="J229" s="24">
        <v>6.4377682403433473E-2</v>
      </c>
      <c r="K229" s="24">
        <v>0.57939914163090134</v>
      </c>
    </row>
    <row r="230" spans="1:11" x14ac:dyDescent="0.2">
      <c r="A230" s="22" t="s">
        <v>510</v>
      </c>
      <c r="B230" s="25">
        <v>40</v>
      </c>
      <c r="C230" s="25">
        <v>30</v>
      </c>
      <c r="D230" s="25">
        <v>23</v>
      </c>
      <c r="E230" s="25">
        <v>20</v>
      </c>
      <c r="F230" s="25">
        <v>19</v>
      </c>
      <c r="G230" s="25">
        <v>18</v>
      </c>
      <c r="H230" s="25">
        <v>11</v>
      </c>
      <c r="I230" s="24">
        <v>0.27500000000000002</v>
      </c>
      <c r="J230" s="24">
        <v>0.14711729622266401</v>
      </c>
      <c r="K230" s="24">
        <v>7.9522862823061632E-2</v>
      </c>
    </row>
    <row r="231" spans="1:11" x14ac:dyDescent="0.2">
      <c r="A231" s="22" t="s">
        <v>630</v>
      </c>
      <c r="B231" s="25">
        <v>43</v>
      </c>
      <c r="C231" s="25">
        <v>36</v>
      </c>
      <c r="D231" s="25">
        <v>27</v>
      </c>
      <c r="E231" s="25">
        <v>24</v>
      </c>
      <c r="F231" s="25">
        <v>20</v>
      </c>
      <c r="G231" s="25">
        <v>20</v>
      </c>
      <c r="H231" s="25">
        <v>11</v>
      </c>
      <c r="I231" s="24">
        <v>0.2558139534883721</v>
      </c>
      <c r="J231" s="24">
        <v>0.19</v>
      </c>
      <c r="K231" s="24">
        <v>0.43</v>
      </c>
    </row>
    <row r="232" spans="1:11" hidden="1" x14ac:dyDescent="0.2">
      <c r="A232" s="22" t="s">
        <v>844</v>
      </c>
      <c r="B232" s="25">
        <v>114</v>
      </c>
      <c r="C232" s="25">
        <v>64</v>
      </c>
      <c r="D232" s="25">
        <v>41</v>
      </c>
      <c r="E232" s="25">
        <v>39</v>
      </c>
      <c r="F232" s="25">
        <v>30</v>
      </c>
      <c r="G232" s="25">
        <v>30</v>
      </c>
      <c r="H232" s="25">
        <v>11</v>
      </c>
      <c r="I232" s="24">
        <v>9.6491228070175433E-2</v>
      </c>
      <c r="J232" s="24">
        <v>0.12903225806451613</v>
      </c>
      <c r="K232" s="24">
        <v>3.6774193548387095</v>
      </c>
    </row>
    <row r="233" spans="1:11" x14ac:dyDescent="0.2">
      <c r="A233" s="22" t="s">
        <v>845</v>
      </c>
      <c r="B233" s="25">
        <v>64</v>
      </c>
      <c r="C233" s="25">
        <v>53</v>
      </c>
      <c r="D233" s="25">
        <v>41</v>
      </c>
      <c r="E233" s="25">
        <v>34</v>
      </c>
      <c r="F233" s="25">
        <v>28</v>
      </c>
      <c r="G233" s="25">
        <v>26</v>
      </c>
      <c r="H233" s="25">
        <v>11</v>
      </c>
      <c r="I233" s="24">
        <v>0.171875</v>
      </c>
      <c r="J233" s="24" t="s">
        <v>1233</v>
      </c>
      <c r="K233" s="24">
        <v>0</v>
      </c>
    </row>
    <row r="234" spans="1:11" x14ac:dyDescent="0.2">
      <c r="A234" s="22" t="s">
        <v>536</v>
      </c>
      <c r="B234" s="25">
        <v>85</v>
      </c>
      <c r="C234" s="25">
        <v>68</v>
      </c>
      <c r="D234" s="25">
        <v>51</v>
      </c>
      <c r="E234" s="25">
        <v>41</v>
      </c>
      <c r="F234" s="25">
        <v>33</v>
      </c>
      <c r="G234" s="25">
        <v>33</v>
      </c>
      <c r="H234" s="25">
        <v>11</v>
      </c>
      <c r="I234" s="24">
        <v>0.12941176470588237</v>
      </c>
      <c r="J234" s="24">
        <v>9.5238095238095233E-2</v>
      </c>
      <c r="K234" s="24">
        <v>4.0476190476190474</v>
      </c>
    </row>
    <row r="235" spans="1:11" hidden="1" x14ac:dyDescent="0.2">
      <c r="A235" s="22" t="s">
        <v>692</v>
      </c>
      <c r="B235" s="25">
        <v>135</v>
      </c>
      <c r="C235" s="25">
        <v>83</v>
      </c>
      <c r="D235" s="25">
        <v>61</v>
      </c>
      <c r="E235" s="25">
        <v>57</v>
      </c>
      <c r="F235" s="25">
        <v>39</v>
      </c>
      <c r="G235" s="25">
        <v>36</v>
      </c>
      <c r="H235" s="25">
        <v>11</v>
      </c>
      <c r="I235" s="24">
        <v>8.1481481481481488E-2</v>
      </c>
      <c r="J235" s="24">
        <v>8.5365853658536592E-2</v>
      </c>
      <c r="K235" s="24">
        <v>1.6463414634146341</v>
      </c>
    </row>
    <row r="236" spans="1:11" hidden="1" x14ac:dyDescent="0.2">
      <c r="A236" s="22" t="s">
        <v>456</v>
      </c>
      <c r="B236" s="25">
        <v>102</v>
      </c>
      <c r="C236" s="25">
        <v>78</v>
      </c>
      <c r="D236" s="25">
        <v>53</v>
      </c>
      <c r="E236" s="25">
        <v>42</v>
      </c>
      <c r="F236" s="25">
        <v>35</v>
      </c>
      <c r="G236" s="25">
        <v>33</v>
      </c>
      <c r="H236" s="25">
        <v>11</v>
      </c>
      <c r="I236" s="24">
        <v>0.10784313725490197</v>
      </c>
      <c r="J236" s="24">
        <v>0.15714285714285714</v>
      </c>
      <c r="K236" s="24">
        <v>0.72857142857142854</v>
      </c>
    </row>
    <row r="237" spans="1:11" x14ac:dyDescent="0.2">
      <c r="A237" s="22" t="s">
        <v>686</v>
      </c>
      <c r="B237" s="25">
        <v>64</v>
      </c>
      <c r="C237" s="25">
        <v>43</v>
      </c>
      <c r="D237" s="25">
        <v>27</v>
      </c>
      <c r="E237" s="25">
        <v>21</v>
      </c>
      <c r="F237" s="25">
        <v>16</v>
      </c>
      <c r="G237" s="25">
        <v>15</v>
      </c>
      <c r="H237" s="25">
        <v>11</v>
      </c>
      <c r="I237" s="24">
        <v>0.171875</v>
      </c>
      <c r="J237" s="24">
        <v>0.17857142857142858</v>
      </c>
      <c r="K237" s="24">
        <v>2.2857142857142856</v>
      </c>
    </row>
    <row r="238" spans="1:11" x14ac:dyDescent="0.2">
      <c r="A238" s="22" t="s">
        <v>846</v>
      </c>
      <c r="B238" s="25">
        <v>59</v>
      </c>
      <c r="C238" s="25">
        <v>31</v>
      </c>
      <c r="D238" s="25">
        <v>23</v>
      </c>
      <c r="E238" s="25">
        <v>20</v>
      </c>
      <c r="F238" s="25">
        <v>15</v>
      </c>
      <c r="G238" s="25">
        <v>15</v>
      </c>
      <c r="H238" s="25">
        <v>10</v>
      </c>
      <c r="I238" s="24">
        <v>0.16949152542372881</v>
      </c>
      <c r="J238" s="24">
        <v>8.6956521739130432E-2</v>
      </c>
      <c r="K238" s="24">
        <v>1.2826086956521738</v>
      </c>
    </row>
    <row r="239" spans="1:11" hidden="1" x14ac:dyDescent="0.2">
      <c r="A239" s="22" t="s">
        <v>257</v>
      </c>
      <c r="B239" s="25">
        <v>217</v>
      </c>
      <c r="C239" s="25">
        <v>65</v>
      </c>
      <c r="D239" s="25">
        <v>47</v>
      </c>
      <c r="E239" s="25">
        <v>32</v>
      </c>
      <c r="F239" s="25">
        <v>30</v>
      </c>
      <c r="G239" s="25">
        <v>28</v>
      </c>
      <c r="H239" s="25">
        <v>10</v>
      </c>
      <c r="I239" s="24">
        <v>4.6082949308755762E-2</v>
      </c>
      <c r="J239" s="24">
        <v>5.9459459459459463E-2</v>
      </c>
      <c r="K239" s="24">
        <v>1.172972972972973</v>
      </c>
    </row>
    <row r="240" spans="1:11" hidden="1" x14ac:dyDescent="0.2">
      <c r="A240" s="22" t="s">
        <v>314</v>
      </c>
      <c r="B240" s="25">
        <v>139</v>
      </c>
      <c r="C240" s="25">
        <v>75</v>
      </c>
      <c r="D240" s="25">
        <v>52</v>
      </c>
      <c r="E240" s="25">
        <v>47</v>
      </c>
      <c r="F240" s="25">
        <v>36</v>
      </c>
      <c r="G240" s="25">
        <v>34</v>
      </c>
      <c r="H240" s="25">
        <v>10</v>
      </c>
      <c r="I240" s="24">
        <v>7.1942446043165464E-2</v>
      </c>
      <c r="J240" s="24">
        <v>0.12745098039215685</v>
      </c>
      <c r="K240" s="24">
        <v>1.3627450980392157</v>
      </c>
    </row>
    <row r="241" spans="1:11" hidden="1" x14ac:dyDescent="0.2">
      <c r="A241" s="22" t="s">
        <v>734</v>
      </c>
      <c r="B241" s="25">
        <v>236</v>
      </c>
      <c r="C241" s="25">
        <v>98</v>
      </c>
      <c r="D241" s="25">
        <v>72</v>
      </c>
      <c r="E241" s="25">
        <v>59</v>
      </c>
      <c r="F241" s="25">
        <v>42</v>
      </c>
      <c r="G241" s="25">
        <v>38</v>
      </c>
      <c r="H241" s="25">
        <v>10</v>
      </c>
      <c r="I241" s="24">
        <v>4.2372881355932202E-2</v>
      </c>
      <c r="J241" s="24">
        <v>6.5375302663438259E-2</v>
      </c>
      <c r="K241" s="24">
        <v>0.5714285714285714</v>
      </c>
    </row>
    <row r="242" spans="1:11" x14ac:dyDescent="0.2">
      <c r="A242" s="22" t="s">
        <v>644</v>
      </c>
      <c r="B242" s="25">
        <v>38</v>
      </c>
      <c r="C242" s="25">
        <v>31</v>
      </c>
      <c r="D242" s="25">
        <v>28</v>
      </c>
      <c r="E242" s="25">
        <v>23</v>
      </c>
      <c r="F242" s="25">
        <v>21</v>
      </c>
      <c r="G242" s="25">
        <v>20</v>
      </c>
      <c r="H242" s="25">
        <v>10</v>
      </c>
      <c r="I242" s="24">
        <v>0.26315789473684209</v>
      </c>
      <c r="J242" s="24">
        <v>0.21212121212121213</v>
      </c>
      <c r="K242" s="24">
        <v>0.5757575757575758</v>
      </c>
    </row>
    <row r="243" spans="1:11" hidden="1" x14ac:dyDescent="0.2">
      <c r="A243" s="22" t="s">
        <v>365</v>
      </c>
      <c r="B243" s="25">
        <v>108</v>
      </c>
      <c r="C243" s="25">
        <v>64</v>
      </c>
      <c r="D243" s="25">
        <v>37</v>
      </c>
      <c r="E243" s="25">
        <v>31</v>
      </c>
      <c r="F243" s="25">
        <v>22</v>
      </c>
      <c r="G243" s="25">
        <v>22</v>
      </c>
      <c r="H243" s="25">
        <v>10</v>
      </c>
      <c r="I243" s="24">
        <v>9.2592592592592587E-2</v>
      </c>
      <c r="J243" s="24">
        <v>2.1739130434782608E-2</v>
      </c>
      <c r="K243" s="24">
        <v>2.347826086956522</v>
      </c>
    </row>
    <row r="244" spans="1:11" x14ac:dyDescent="0.2">
      <c r="A244" s="22" t="s">
        <v>847</v>
      </c>
      <c r="B244" s="25">
        <v>75</v>
      </c>
      <c r="C244" s="25">
        <v>41</v>
      </c>
      <c r="D244" s="25">
        <v>28</v>
      </c>
      <c r="E244" s="25">
        <v>26</v>
      </c>
      <c r="F244" s="25">
        <v>20</v>
      </c>
      <c r="G244" s="25">
        <v>20</v>
      </c>
      <c r="H244" s="25">
        <v>10</v>
      </c>
      <c r="I244" s="24">
        <v>0.13333333333333333</v>
      </c>
      <c r="J244" s="24">
        <v>5.0847457627118647E-2</v>
      </c>
      <c r="K244" s="24">
        <v>1.271186440677966</v>
      </c>
    </row>
    <row r="245" spans="1:11" hidden="1" x14ac:dyDescent="0.2">
      <c r="A245" s="22" t="s">
        <v>848</v>
      </c>
      <c r="B245" s="25">
        <v>145</v>
      </c>
      <c r="C245" s="25">
        <v>108</v>
      </c>
      <c r="D245" s="25">
        <v>76</v>
      </c>
      <c r="E245" s="25">
        <v>62</v>
      </c>
      <c r="F245" s="25">
        <v>40</v>
      </c>
      <c r="G245" s="25">
        <v>37</v>
      </c>
      <c r="H245" s="25">
        <v>10</v>
      </c>
      <c r="I245" s="24">
        <v>6.8965517241379309E-2</v>
      </c>
      <c r="J245" s="24">
        <v>3.3333333333333333E-2</v>
      </c>
      <c r="K245" s="24">
        <v>2.4166666666666665</v>
      </c>
    </row>
    <row r="246" spans="1:11" hidden="1" x14ac:dyDescent="0.2">
      <c r="A246" s="22" t="s">
        <v>778</v>
      </c>
      <c r="B246" s="25">
        <v>329</v>
      </c>
      <c r="C246" s="25">
        <v>106</v>
      </c>
      <c r="D246" s="25">
        <v>55</v>
      </c>
      <c r="E246" s="25">
        <v>45</v>
      </c>
      <c r="F246" s="25">
        <v>33</v>
      </c>
      <c r="G246" s="25">
        <v>32</v>
      </c>
      <c r="H246" s="25">
        <v>10</v>
      </c>
      <c r="I246" s="24">
        <v>3.0395136778115502E-2</v>
      </c>
      <c r="J246" s="24" t="s">
        <v>1233</v>
      </c>
      <c r="K246" s="24">
        <v>0</v>
      </c>
    </row>
    <row r="247" spans="1:11" hidden="1" x14ac:dyDescent="0.2">
      <c r="A247" s="22" t="s">
        <v>334</v>
      </c>
      <c r="B247" s="25">
        <v>141</v>
      </c>
      <c r="C247" s="25">
        <v>74</v>
      </c>
      <c r="D247" s="25">
        <v>56</v>
      </c>
      <c r="E247" s="25">
        <v>51</v>
      </c>
      <c r="F247" s="25">
        <v>40</v>
      </c>
      <c r="G247" s="25">
        <v>36</v>
      </c>
      <c r="H247" s="25">
        <v>10</v>
      </c>
      <c r="I247" s="24">
        <v>7.0921985815602842E-2</v>
      </c>
      <c r="J247" s="24" t="s">
        <v>1233</v>
      </c>
      <c r="K247" s="24">
        <v>0</v>
      </c>
    </row>
    <row r="248" spans="1:11" x14ac:dyDescent="0.2">
      <c r="A248" s="22" t="s">
        <v>592</v>
      </c>
      <c r="B248" s="25">
        <v>62</v>
      </c>
      <c r="C248" s="25">
        <v>47</v>
      </c>
      <c r="D248" s="25">
        <v>35</v>
      </c>
      <c r="E248" s="25">
        <v>35</v>
      </c>
      <c r="F248" s="25">
        <v>26</v>
      </c>
      <c r="G248" s="25">
        <v>21</v>
      </c>
      <c r="H248" s="25">
        <v>10</v>
      </c>
      <c r="I248" s="24">
        <v>0.16129032258064516</v>
      </c>
      <c r="J248" s="24">
        <v>0.14814814814814814</v>
      </c>
      <c r="K248" s="24">
        <v>1.1481481481481481</v>
      </c>
    </row>
    <row r="249" spans="1:11" hidden="1" x14ac:dyDescent="0.2">
      <c r="A249" s="22" t="s">
        <v>849</v>
      </c>
      <c r="B249" s="25">
        <v>136</v>
      </c>
      <c r="C249" s="25">
        <v>61</v>
      </c>
      <c r="D249" s="25">
        <v>40</v>
      </c>
      <c r="E249" s="25">
        <v>32</v>
      </c>
      <c r="F249" s="25">
        <v>22</v>
      </c>
      <c r="G249" s="25">
        <v>22</v>
      </c>
      <c r="H249" s="25">
        <v>10</v>
      </c>
      <c r="I249" s="24">
        <v>7.3529411764705885E-2</v>
      </c>
      <c r="J249" s="24">
        <v>0.09</v>
      </c>
      <c r="K249" s="24">
        <v>1.36</v>
      </c>
    </row>
    <row r="250" spans="1:11" x14ac:dyDescent="0.2">
      <c r="A250" s="22" t="s">
        <v>724</v>
      </c>
      <c r="B250" s="25">
        <v>62</v>
      </c>
      <c r="C250" s="25">
        <v>41</v>
      </c>
      <c r="D250" s="25">
        <v>34</v>
      </c>
      <c r="E250" s="25">
        <v>27</v>
      </c>
      <c r="F250" s="25">
        <v>20</v>
      </c>
      <c r="G250" s="25">
        <v>20</v>
      </c>
      <c r="H250" s="25">
        <v>10</v>
      </c>
      <c r="I250" s="24">
        <v>0.16129032258064516</v>
      </c>
      <c r="J250" s="24">
        <v>0.22727272727272727</v>
      </c>
      <c r="K250" s="24">
        <v>2.8181818181818183</v>
      </c>
    </row>
    <row r="251" spans="1:11" x14ac:dyDescent="0.2">
      <c r="A251" s="22" t="s">
        <v>343</v>
      </c>
      <c r="B251" s="25">
        <v>76</v>
      </c>
      <c r="C251" s="25">
        <v>59</v>
      </c>
      <c r="D251" s="25">
        <v>49</v>
      </c>
      <c r="E251" s="25">
        <v>46</v>
      </c>
      <c r="F251" s="25">
        <v>34</v>
      </c>
      <c r="G251" s="25">
        <v>32</v>
      </c>
      <c r="H251" s="25">
        <v>10</v>
      </c>
      <c r="I251" s="24">
        <v>0.13157894736842105</v>
      </c>
      <c r="J251" s="24" t="s">
        <v>1233</v>
      </c>
      <c r="K251" s="24">
        <v>0</v>
      </c>
    </row>
    <row r="252" spans="1:11" x14ac:dyDescent="0.2">
      <c r="A252" s="22" t="s">
        <v>850</v>
      </c>
      <c r="B252" s="25">
        <v>82</v>
      </c>
      <c r="C252" s="25">
        <v>62</v>
      </c>
      <c r="D252" s="25">
        <v>42</v>
      </c>
      <c r="E252" s="25">
        <v>36</v>
      </c>
      <c r="F252" s="25">
        <v>24</v>
      </c>
      <c r="G252" s="25">
        <v>21</v>
      </c>
      <c r="H252" s="25">
        <v>10</v>
      </c>
      <c r="I252" s="24">
        <v>0.12195121951219512</v>
      </c>
      <c r="J252" s="24">
        <v>0.1076923076923077</v>
      </c>
      <c r="K252" s="24">
        <v>1.2615384615384615</v>
      </c>
    </row>
    <row r="253" spans="1:11" x14ac:dyDescent="0.2">
      <c r="A253" s="22" t="s">
        <v>802</v>
      </c>
      <c r="B253" s="25">
        <v>41</v>
      </c>
      <c r="C253" s="25">
        <v>28</v>
      </c>
      <c r="D253" s="25">
        <v>23</v>
      </c>
      <c r="E253" s="25">
        <v>20</v>
      </c>
      <c r="F253" s="25">
        <v>16</v>
      </c>
      <c r="G253" s="25">
        <v>16</v>
      </c>
      <c r="H253" s="25">
        <v>10</v>
      </c>
      <c r="I253" s="24">
        <v>0.24390243902439024</v>
      </c>
      <c r="J253" s="24" t="s">
        <v>1233</v>
      </c>
      <c r="K253" s="24">
        <v>0</v>
      </c>
    </row>
    <row r="254" spans="1:11" hidden="1" x14ac:dyDescent="0.2">
      <c r="A254" s="22" t="s">
        <v>851</v>
      </c>
      <c r="B254" s="25">
        <v>117</v>
      </c>
      <c r="C254" s="25">
        <v>85</v>
      </c>
      <c r="D254" s="25">
        <v>69</v>
      </c>
      <c r="E254" s="25">
        <v>44</v>
      </c>
      <c r="F254" s="25">
        <v>33</v>
      </c>
      <c r="G254" s="25">
        <v>30</v>
      </c>
      <c r="H254" s="25">
        <v>9</v>
      </c>
      <c r="I254" s="24">
        <v>7.6923076923076927E-2</v>
      </c>
      <c r="J254" s="24">
        <v>2.3255813953488372E-2</v>
      </c>
      <c r="K254" s="24">
        <v>2.7209302325581395</v>
      </c>
    </row>
    <row r="255" spans="1:11" x14ac:dyDescent="0.2">
      <c r="A255" s="22" t="s">
        <v>852</v>
      </c>
      <c r="B255" s="25">
        <v>60</v>
      </c>
      <c r="C255" s="25">
        <v>40</v>
      </c>
      <c r="D255" s="25">
        <v>34</v>
      </c>
      <c r="E255" s="25">
        <v>32</v>
      </c>
      <c r="F255" s="25">
        <v>23</v>
      </c>
      <c r="G255" s="25">
        <v>21</v>
      </c>
      <c r="H255" s="25">
        <v>9</v>
      </c>
      <c r="I255" s="24">
        <v>0.15</v>
      </c>
      <c r="J255" s="24" t="s">
        <v>1233</v>
      </c>
      <c r="K255" s="24">
        <v>0</v>
      </c>
    </row>
    <row r="256" spans="1:11" hidden="1" x14ac:dyDescent="0.2">
      <c r="A256" s="22" t="s">
        <v>316</v>
      </c>
      <c r="B256" s="25">
        <v>76</v>
      </c>
      <c r="C256" s="25">
        <v>33</v>
      </c>
      <c r="D256" s="25">
        <v>24</v>
      </c>
      <c r="E256" s="25">
        <v>22</v>
      </c>
      <c r="F256" s="25">
        <v>20</v>
      </c>
      <c r="G256" s="25">
        <v>19</v>
      </c>
      <c r="H256" s="25">
        <v>9</v>
      </c>
      <c r="I256" s="24">
        <v>0.11842105263157894</v>
      </c>
      <c r="J256" s="24">
        <v>7.1428571428571425E-2</v>
      </c>
      <c r="K256" s="24">
        <v>1.3571428571428572</v>
      </c>
    </row>
    <row r="257" spans="1:11" x14ac:dyDescent="0.2">
      <c r="A257" s="22" t="s">
        <v>853</v>
      </c>
      <c r="B257" s="25">
        <v>55</v>
      </c>
      <c r="C257" s="25">
        <v>51</v>
      </c>
      <c r="D257" s="25">
        <v>39</v>
      </c>
      <c r="E257" s="25">
        <v>33</v>
      </c>
      <c r="F257" s="25">
        <v>22</v>
      </c>
      <c r="G257" s="25">
        <v>21</v>
      </c>
      <c r="H257" s="25">
        <v>9</v>
      </c>
      <c r="I257" s="24">
        <v>0.16363636363636364</v>
      </c>
      <c r="J257" s="24" t="s">
        <v>1233</v>
      </c>
      <c r="K257" s="24">
        <v>0</v>
      </c>
    </row>
    <row r="258" spans="1:11" hidden="1" x14ac:dyDescent="0.2">
      <c r="A258" s="22" t="s">
        <v>271</v>
      </c>
      <c r="B258" s="25">
        <v>157</v>
      </c>
      <c r="C258" s="25">
        <v>50</v>
      </c>
      <c r="D258" s="25">
        <v>34</v>
      </c>
      <c r="E258" s="25">
        <v>32</v>
      </c>
      <c r="F258" s="25">
        <v>24</v>
      </c>
      <c r="G258" s="25">
        <v>23</v>
      </c>
      <c r="H258" s="25">
        <v>9</v>
      </c>
      <c r="I258" s="24">
        <v>5.7324840764331211E-2</v>
      </c>
      <c r="J258" s="24">
        <v>6.3291139240506333E-2</v>
      </c>
      <c r="K258" s="24">
        <v>1.9873417721518987</v>
      </c>
    </row>
    <row r="259" spans="1:11" hidden="1" x14ac:dyDescent="0.2">
      <c r="A259" s="22" t="s">
        <v>752</v>
      </c>
      <c r="B259" s="25">
        <v>92</v>
      </c>
      <c r="C259" s="25">
        <v>47</v>
      </c>
      <c r="D259" s="25">
        <v>33</v>
      </c>
      <c r="E259" s="25">
        <v>29</v>
      </c>
      <c r="F259" s="25">
        <v>20</v>
      </c>
      <c r="G259" s="25">
        <v>19</v>
      </c>
      <c r="H259" s="25">
        <v>9</v>
      </c>
      <c r="I259" s="24">
        <v>9.7826086956521743E-2</v>
      </c>
      <c r="J259" s="24">
        <v>4.5454545454545456E-2</v>
      </c>
      <c r="K259" s="24">
        <v>1.393939393939394</v>
      </c>
    </row>
    <row r="260" spans="1:11" hidden="1" x14ac:dyDescent="0.2">
      <c r="A260" s="22" t="s">
        <v>283</v>
      </c>
      <c r="B260" s="25">
        <v>108</v>
      </c>
      <c r="C260" s="25">
        <v>64</v>
      </c>
      <c r="D260" s="25">
        <v>39</v>
      </c>
      <c r="E260" s="25">
        <v>34</v>
      </c>
      <c r="F260" s="25">
        <v>28</v>
      </c>
      <c r="G260" s="25">
        <v>27</v>
      </c>
      <c r="H260" s="25">
        <v>9</v>
      </c>
      <c r="I260" s="24">
        <v>8.3333333333333329E-2</v>
      </c>
      <c r="J260" s="24">
        <v>7.8947368421052627E-2</v>
      </c>
      <c r="K260" s="24">
        <v>1.4210526315789473</v>
      </c>
    </row>
    <row r="261" spans="1:11" hidden="1" x14ac:dyDescent="0.2">
      <c r="A261" s="22" t="s">
        <v>285</v>
      </c>
      <c r="B261" s="25">
        <v>129</v>
      </c>
      <c r="C261" s="25">
        <v>55</v>
      </c>
      <c r="D261" s="25">
        <v>38</v>
      </c>
      <c r="E261" s="25">
        <v>34</v>
      </c>
      <c r="F261" s="25">
        <v>28</v>
      </c>
      <c r="G261" s="25">
        <v>27</v>
      </c>
      <c r="H261" s="25">
        <v>9</v>
      </c>
      <c r="I261" s="24">
        <v>6.9767441860465115E-2</v>
      </c>
      <c r="J261" s="24">
        <v>8.3333333333333329E-2</v>
      </c>
      <c r="K261" s="24">
        <v>1.34375</v>
      </c>
    </row>
    <row r="262" spans="1:11" x14ac:dyDescent="0.2">
      <c r="A262" s="22" t="s">
        <v>854</v>
      </c>
      <c r="B262" s="25">
        <v>57</v>
      </c>
      <c r="C262" s="25">
        <v>48</v>
      </c>
      <c r="D262" s="25">
        <v>38</v>
      </c>
      <c r="E262" s="25">
        <v>31</v>
      </c>
      <c r="F262" s="25">
        <v>20</v>
      </c>
      <c r="G262" s="25">
        <v>19</v>
      </c>
      <c r="H262" s="25">
        <v>9</v>
      </c>
      <c r="I262" s="24">
        <v>0.15789473684210525</v>
      </c>
      <c r="J262" s="24">
        <v>0.26470588235294118</v>
      </c>
      <c r="K262" s="24">
        <v>1.6764705882352942</v>
      </c>
    </row>
    <row r="263" spans="1:11" hidden="1" x14ac:dyDescent="0.2">
      <c r="A263" s="22" t="s">
        <v>339</v>
      </c>
      <c r="B263" s="25">
        <v>188</v>
      </c>
      <c r="C263" s="25">
        <v>87</v>
      </c>
      <c r="D263" s="25">
        <v>62</v>
      </c>
      <c r="E263" s="25">
        <v>53</v>
      </c>
      <c r="F263" s="25">
        <v>40</v>
      </c>
      <c r="G263" s="25">
        <v>36</v>
      </c>
      <c r="H263" s="25">
        <v>9</v>
      </c>
      <c r="I263" s="24">
        <v>4.7872340425531915E-2</v>
      </c>
      <c r="J263" s="24">
        <v>0.125</v>
      </c>
      <c r="K263" s="24">
        <v>1.6785714285714286</v>
      </c>
    </row>
    <row r="264" spans="1:11" x14ac:dyDescent="0.2">
      <c r="A264" s="22" t="s">
        <v>855</v>
      </c>
      <c r="B264" s="25">
        <v>57</v>
      </c>
      <c r="C264" s="25">
        <v>45</v>
      </c>
      <c r="D264" s="25">
        <v>39</v>
      </c>
      <c r="E264" s="25">
        <v>31</v>
      </c>
      <c r="F264" s="25">
        <v>23</v>
      </c>
      <c r="G264" s="25">
        <v>21</v>
      </c>
      <c r="H264" s="25">
        <v>9</v>
      </c>
      <c r="I264" s="24">
        <v>0.15789473684210525</v>
      </c>
      <c r="J264" s="24" t="s">
        <v>1233</v>
      </c>
      <c r="K264" s="24">
        <v>0</v>
      </c>
    </row>
    <row r="265" spans="1:11" x14ac:dyDescent="0.2">
      <c r="A265" s="22" t="s">
        <v>856</v>
      </c>
      <c r="B265" s="25">
        <v>45</v>
      </c>
      <c r="C265" s="25">
        <v>39</v>
      </c>
      <c r="D265" s="25">
        <v>31</v>
      </c>
      <c r="E265" s="25">
        <v>27</v>
      </c>
      <c r="F265" s="25">
        <v>21</v>
      </c>
      <c r="G265" s="25">
        <v>20</v>
      </c>
      <c r="H265" s="25">
        <v>9</v>
      </c>
      <c r="I265" s="24">
        <v>0.2</v>
      </c>
      <c r="J265" s="24">
        <v>0.11428571428571428</v>
      </c>
      <c r="K265" s="24">
        <v>1.2857142857142858</v>
      </c>
    </row>
    <row r="266" spans="1:11" x14ac:dyDescent="0.2">
      <c r="A266" s="22" t="s">
        <v>486</v>
      </c>
      <c r="B266" s="25">
        <v>72</v>
      </c>
      <c r="C266" s="25">
        <v>62</v>
      </c>
      <c r="D266" s="25">
        <v>49</v>
      </c>
      <c r="E266" s="25">
        <v>42</v>
      </c>
      <c r="F266" s="25">
        <v>32</v>
      </c>
      <c r="G266" s="25">
        <v>27</v>
      </c>
      <c r="H266" s="25">
        <v>9</v>
      </c>
      <c r="I266" s="24">
        <v>0.125</v>
      </c>
      <c r="J266" s="24">
        <v>0.11557788944723618</v>
      </c>
      <c r="K266" s="24">
        <v>0.36180904522613067</v>
      </c>
    </row>
    <row r="267" spans="1:11" x14ac:dyDescent="0.2">
      <c r="A267" s="22" t="s">
        <v>857</v>
      </c>
      <c r="B267" s="25">
        <v>51</v>
      </c>
      <c r="C267" s="25">
        <v>46</v>
      </c>
      <c r="D267" s="25">
        <v>37</v>
      </c>
      <c r="E267" s="25">
        <v>31</v>
      </c>
      <c r="F267" s="25">
        <v>22</v>
      </c>
      <c r="G267" s="25">
        <v>19</v>
      </c>
      <c r="H267" s="25">
        <v>9</v>
      </c>
      <c r="I267" s="24">
        <v>0.17647058823529413</v>
      </c>
      <c r="J267" s="24" t="s">
        <v>1233</v>
      </c>
      <c r="K267" s="24">
        <v>0</v>
      </c>
    </row>
    <row r="268" spans="1:11" x14ac:dyDescent="0.2">
      <c r="A268" s="22" t="s">
        <v>858</v>
      </c>
      <c r="B268" s="25">
        <v>57</v>
      </c>
      <c r="C268" s="25">
        <v>39</v>
      </c>
      <c r="D268" s="25">
        <v>33</v>
      </c>
      <c r="E268" s="25">
        <v>29</v>
      </c>
      <c r="F268" s="25">
        <v>23</v>
      </c>
      <c r="G268" s="25">
        <v>20</v>
      </c>
      <c r="H268" s="25">
        <v>9</v>
      </c>
      <c r="I268" s="24">
        <v>0.15789473684210525</v>
      </c>
      <c r="J268" s="24">
        <v>8.8888888888888892E-2</v>
      </c>
      <c r="K268" s="24">
        <v>1.2666666666666666</v>
      </c>
    </row>
    <row r="269" spans="1:11" hidden="1" x14ac:dyDescent="0.2">
      <c r="A269" s="22" t="s">
        <v>405</v>
      </c>
      <c r="B269" s="25">
        <v>125</v>
      </c>
      <c r="C269" s="25">
        <v>61</v>
      </c>
      <c r="D269" s="25">
        <v>45</v>
      </c>
      <c r="E269" s="25">
        <v>37</v>
      </c>
      <c r="F269" s="25">
        <v>27</v>
      </c>
      <c r="G269" s="25">
        <v>27</v>
      </c>
      <c r="H269" s="25">
        <v>8</v>
      </c>
      <c r="I269" s="24">
        <v>6.4000000000000001E-2</v>
      </c>
      <c r="J269" s="24">
        <v>0.10810810810810811</v>
      </c>
      <c r="K269" s="24">
        <v>0.84459459459459463</v>
      </c>
    </row>
    <row r="270" spans="1:11" hidden="1" x14ac:dyDescent="0.2">
      <c r="A270" s="22" t="s">
        <v>648</v>
      </c>
      <c r="B270" s="25">
        <v>120</v>
      </c>
      <c r="C270" s="25">
        <v>85</v>
      </c>
      <c r="D270" s="25">
        <v>61</v>
      </c>
      <c r="E270" s="25">
        <v>44</v>
      </c>
      <c r="F270" s="25">
        <v>33</v>
      </c>
      <c r="G270" s="25">
        <v>33</v>
      </c>
      <c r="H270" s="25">
        <v>8</v>
      </c>
      <c r="I270" s="24">
        <v>6.6666666666666666E-2</v>
      </c>
      <c r="J270" s="24">
        <v>7.5949367088607597E-2</v>
      </c>
      <c r="K270" s="24">
        <v>0.759493670886076</v>
      </c>
    </row>
    <row r="271" spans="1:11" x14ac:dyDescent="0.2">
      <c r="A271" s="22" t="s">
        <v>859</v>
      </c>
      <c r="B271" s="25">
        <v>50</v>
      </c>
      <c r="C271" s="25">
        <v>35</v>
      </c>
      <c r="D271" s="25">
        <v>27</v>
      </c>
      <c r="E271" s="25">
        <v>25</v>
      </c>
      <c r="F271" s="25">
        <v>20</v>
      </c>
      <c r="G271" s="25">
        <v>16</v>
      </c>
      <c r="H271" s="25">
        <v>8</v>
      </c>
      <c r="I271" s="24">
        <v>0.16</v>
      </c>
      <c r="J271" s="24">
        <v>3.2258064516129031E-2</v>
      </c>
      <c r="K271" s="24">
        <v>1.6129032258064515</v>
      </c>
    </row>
    <row r="272" spans="1:11" hidden="1" x14ac:dyDescent="0.2">
      <c r="A272" s="22" t="s">
        <v>264</v>
      </c>
      <c r="B272" s="25">
        <v>96</v>
      </c>
      <c r="C272" s="25">
        <v>56</v>
      </c>
      <c r="D272" s="25">
        <v>39</v>
      </c>
      <c r="E272" s="25">
        <v>29</v>
      </c>
      <c r="F272" s="25">
        <v>24</v>
      </c>
      <c r="G272" s="25">
        <v>23</v>
      </c>
      <c r="H272" s="25">
        <v>8</v>
      </c>
      <c r="I272" s="24">
        <v>8.3333333333333329E-2</v>
      </c>
      <c r="J272" s="24">
        <v>0.17592592592592593</v>
      </c>
      <c r="K272" s="24">
        <v>0.88888888888888884</v>
      </c>
    </row>
    <row r="273" spans="1:11" x14ac:dyDescent="0.2">
      <c r="A273" s="22" t="s">
        <v>440</v>
      </c>
      <c r="B273" s="25">
        <v>35</v>
      </c>
      <c r="C273" s="25">
        <v>25</v>
      </c>
      <c r="D273" s="25">
        <v>18</v>
      </c>
      <c r="E273" s="25">
        <v>17</v>
      </c>
      <c r="F273" s="25">
        <v>16</v>
      </c>
      <c r="G273" s="25">
        <v>16</v>
      </c>
      <c r="H273" s="25">
        <v>8</v>
      </c>
      <c r="I273" s="24">
        <v>0.22857142857142856</v>
      </c>
      <c r="J273" s="24">
        <v>6.8965517241379309E-2</v>
      </c>
      <c r="K273" s="24">
        <v>1.2068965517241379</v>
      </c>
    </row>
    <row r="274" spans="1:11" hidden="1" x14ac:dyDescent="0.2">
      <c r="A274" s="22" t="s">
        <v>349</v>
      </c>
      <c r="B274" s="25">
        <v>108</v>
      </c>
      <c r="C274" s="25">
        <v>52</v>
      </c>
      <c r="D274" s="25">
        <v>37</v>
      </c>
      <c r="E274" s="25">
        <v>30</v>
      </c>
      <c r="F274" s="25">
        <v>25</v>
      </c>
      <c r="G274" s="25">
        <v>23</v>
      </c>
      <c r="H274" s="25">
        <v>8</v>
      </c>
      <c r="I274" s="24">
        <v>7.407407407407407E-2</v>
      </c>
      <c r="J274" s="24">
        <v>7.407407407407407E-2</v>
      </c>
      <c r="K274" s="24">
        <v>2</v>
      </c>
    </row>
    <row r="275" spans="1:11" x14ac:dyDescent="0.2">
      <c r="A275" s="22" t="s">
        <v>860</v>
      </c>
      <c r="B275" s="25">
        <v>58</v>
      </c>
      <c r="C275" s="25">
        <v>37</v>
      </c>
      <c r="D275" s="25">
        <v>25</v>
      </c>
      <c r="E275" s="25">
        <v>21</v>
      </c>
      <c r="F275" s="25">
        <v>19</v>
      </c>
      <c r="G275" s="25">
        <v>18</v>
      </c>
      <c r="H275" s="25">
        <v>8</v>
      </c>
      <c r="I275" s="24">
        <v>0.13793103448275862</v>
      </c>
      <c r="J275" s="24">
        <v>0.23076923076923078</v>
      </c>
      <c r="K275" s="24">
        <v>1.4871794871794872</v>
      </c>
    </row>
    <row r="276" spans="1:11" hidden="1" x14ac:dyDescent="0.2">
      <c r="A276" s="22" t="s">
        <v>861</v>
      </c>
      <c r="B276" s="25">
        <v>75</v>
      </c>
      <c r="C276" s="25">
        <v>70</v>
      </c>
      <c r="D276" s="25">
        <v>49</v>
      </c>
      <c r="E276" s="25">
        <v>45</v>
      </c>
      <c r="F276" s="25">
        <v>38</v>
      </c>
      <c r="G276" s="25">
        <v>36</v>
      </c>
      <c r="H276" s="25">
        <v>8</v>
      </c>
      <c r="I276" s="24">
        <v>0.10666666666666667</v>
      </c>
      <c r="J276" s="24">
        <v>0.15</v>
      </c>
      <c r="K276" s="24">
        <v>0.5357142857142857</v>
      </c>
    </row>
    <row r="277" spans="1:11" hidden="1" x14ac:dyDescent="0.2">
      <c r="A277" s="22" t="s">
        <v>862</v>
      </c>
      <c r="B277" s="25">
        <v>69</v>
      </c>
      <c r="C277" s="25">
        <v>41</v>
      </c>
      <c r="D277" s="25">
        <v>32</v>
      </c>
      <c r="E277" s="25">
        <v>29</v>
      </c>
      <c r="F277" s="25">
        <v>23</v>
      </c>
      <c r="G277" s="25">
        <v>23</v>
      </c>
      <c r="H277" s="25">
        <v>8</v>
      </c>
      <c r="I277" s="24">
        <v>0.11594202898550725</v>
      </c>
      <c r="J277" s="24">
        <v>0.18421052631578946</v>
      </c>
      <c r="K277" s="24">
        <v>1.8157894736842106</v>
      </c>
    </row>
    <row r="278" spans="1:11" hidden="1" x14ac:dyDescent="0.2">
      <c r="A278" s="22" t="s">
        <v>863</v>
      </c>
      <c r="B278" s="25">
        <v>75</v>
      </c>
      <c r="C278" s="25">
        <v>48</v>
      </c>
      <c r="D278" s="25">
        <v>30</v>
      </c>
      <c r="E278" s="25">
        <v>26</v>
      </c>
      <c r="F278" s="25">
        <v>19</v>
      </c>
      <c r="G278" s="25">
        <v>18</v>
      </c>
      <c r="H278" s="25">
        <v>8</v>
      </c>
      <c r="I278" s="24">
        <v>0.10666666666666667</v>
      </c>
      <c r="J278" s="24" t="s">
        <v>1233</v>
      </c>
      <c r="K278" s="24">
        <v>0</v>
      </c>
    </row>
    <row r="279" spans="1:11" x14ac:dyDescent="0.2">
      <c r="A279" s="22" t="s">
        <v>864</v>
      </c>
      <c r="B279" s="25">
        <v>65</v>
      </c>
      <c r="C279" s="25">
        <v>49</v>
      </c>
      <c r="D279" s="25">
        <v>32</v>
      </c>
      <c r="E279" s="25">
        <v>27</v>
      </c>
      <c r="F279" s="25">
        <v>23</v>
      </c>
      <c r="G279" s="25">
        <v>23</v>
      </c>
      <c r="H279" s="25">
        <v>8</v>
      </c>
      <c r="I279" s="24">
        <v>0.12307692307692308</v>
      </c>
      <c r="J279" s="24">
        <v>0.22857142857142856</v>
      </c>
      <c r="K279" s="24">
        <v>1.8571428571428572</v>
      </c>
    </row>
    <row r="280" spans="1:11" hidden="1" x14ac:dyDescent="0.2">
      <c r="A280" s="22" t="s">
        <v>516</v>
      </c>
      <c r="B280" s="25">
        <v>70</v>
      </c>
      <c r="C280" s="25">
        <v>64</v>
      </c>
      <c r="D280" s="25">
        <v>51</v>
      </c>
      <c r="E280" s="25">
        <v>43</v>
      </c>
      <c r="F280" s="25">
        <v>36</v>
      </c>
      <c r="G280" s="25">
        <v>36</v>
      </c>
      <c r="H280" s="25">
        <v>8</v>
      </c>
      <c r="I280" s="24">
        <v>0.11428571428571428</v>
      </c>
      <c r="J280" s="24">
        <v>0.10382513661202186</v>
      </c>
      <c r="K280" s="24">
        <v>0.38251366120218577</v>
      </c>
    </row>
    <row r="281" spans="1:11" hidden="1" x14ac:dyDescent="0.2">
      <c r="A281" s="22" t="s">
        <v>865</v>
      </c>
      <c r="B281" s="25">
        <v>84</v>
      </c>
      <c r="C281" s="25">
        <v>57</v>
      </c>
      <c r="D281" s="25">
        <v>34</v>
      </c>
      <c r="E281" s="25">
        <v>27</v>
      </c>
      <c r="F281" s="25">
        <v>21</v>
      </c>
      <c r="G281" s="25">
        <v>20</v>
      </c>
      <c r="H281" s="25">
        <v>8</v>
      </c>
      <c r="I281" s="24">
        <v>9.5238095238095233E-2</v>
      </c>
      <c r="J281" s="24">
        <v>2.9411764705882353E-2</v>
      </c>
      <c r="K281" s="24">
        <v>1.2352941176470589</v>
      </c>
    </row>
    <row r="282" spans="1:11" x14ac:dyDescent="0.2">
      <c r="A282" s="22" t="s">
        <v>434</v>
      </c>
      <c r="B282" s="25">
        <v>43</v>
      </c>
      <c r="C282" s="25">
        <v>25</v>
      </c>
      <c r="D282" s="25">
        <v>19</v>
      </c>
      <c r="E282" s="25">
        <v>16</v>
      </c>
      <c r="F282" s="25">
        <v>15</v>
      </c>
      <c r="G282" s="25">
        <v>12</v>
      </c>
      <c r="H282" s="25">
        <v>7</v>
      </c>
      <c r="I282" s="24">
        <v>0.16279069767441862</v>
      </c>
      <c r="J282" s="24">
        <v>0.18</v>
      </c>
      <c r="K282" s="24">
        <v>0.86</v>
      </c>
    </row>
    <row r="283" spans="1:11" x14ac:dyDescent="0.2">
      <c r="A283" s="22" t="s">
        <v>866</v>
      </c>
      <c r="B283" s="25">
        <v>57</v>
      </c>
      <c r="C283" s="25">
        <v>48</v>
      </c>
      <c r="D283" s="25">
        <v>35</v>
      </c>
      <c r="E283" s="25">
        <v>29</v>
      </c>
      <c r="F283" s="25">
        <v>19</v>
      </c>
      <c r="G283" s="25">
        <v>18</v>
      </c>
      <c r="H283" s="25">
        <v>7</v>
      </c>
      <c r="I283" s="24">
        <v>0.12280701754385964</v>
      </c>
      <c r="J283" s="24">
        <v>0.18181818181818182</v>
      </c>
      <c r="K283" s="24">
        <v>0.86363636363636365</v>
      </c>
    </row>
    <row r="284" spans="1:11" hidden="1" x14ac:dyDescent="0.2">
      <c r="A284" s="22" t="s">
        <v>780</v>
      </c>
      <c r="B284" s="25">
        <v>99</v>
      </c>
      <c r="C284" s="25">
        <v>74</v>
      </c>
      <c r="D284" s="25">
        <v>51</v>
      </c>
      <c r="E284" s="25">
        <v>41</v>
      </c>
      <c r="F284" s="25">
        <v>30</v>
      </c>
      <c r="G284" s="25">
        <v>28</v>
      </c>
      <c r="H284" s="25">
        <v>7</v>
      </c>
      <c r="I284" s="24">
        <v>7.0707070707070704E-2</v>
      </c>
      <c r="J284" s="24" t="s">
        <v>1233</v>
      </c>
      <c r="K284" s="24">
        <v>0</v>
      </c>
    </row>
    <row r="285" spans="1:11" hidden="1" x14ac:dyDescent="0.2">
      <c r="A285" s="22" t="s">
        <v>542</v>
      </c>
      <c r="B285" s="25">
        <v>63</v>
      </c>
      <c r="C285" s="25">
        <v>39</v>
      </c>
      <c r="D285" s="25">
        <v>29</v>
      </c>
      <c r="E285" s="25">
        <v>24</v>
      </c>
      <c r="F285" s="25">
        <v>22</v>
      </c>
      <c r="G285" s="25">
        <v>22</v>
      </c>
      <c r="H285" s="25">
        <v>7</v>
      </c>
      <c r="I285" s="24">
        <v>0.1111111111111111</v>
      </c>
      <c r="J285" s="24">
        <v>0.17307692307692307</v>
      </c>
      <c r="K285" s="24">
        <v>1.2115384615384615</v>
      </c>
    </row>
    <row r="286" spans="1:11" x14ac:dyDescent="0.2">
      <c r="A286" s="22" t="s">
        <v>867</v>
      </c>
      <c r="B286" s="25">
        <v>19</v>
      </c>
      <c r="C286" s="25">
        <v>14</v>
      </c>
      <c r="D286" s="25">
        <v>12</v>
      </c>
      <c r="E286" s="25">
        <v>12</v>
      </c>
      <c r="F286" s="25">
        <v>10</v>
      </c>
      <c r="G286" s="25">
        <v>9</v>
      </c>
      <c r="H286" s="25">
        <v>7</v>
      </c>
      <c r="I286" s="24">
        <v>0.36842105263157893</v>
      </c>
      <c r="J286" s="24" t="s">
        <v>1233</v>
      </c>
      <c r="K286" s="24">
        <v>0</v>
      </c>
    </row>
    <row r="287" spans="1:11" hidden="1" x14ac:dyDescent="0.2">
      <c r="A287" s="22" t="s">
        <v>868</v>
      </c>
      <c r="B287" s="25">
        <v>83</v>
      </c>
      <c r="C287" s="25">
        <v>33</v>
      </c>
      <c r="D287" s="25">
        <v>24</v>
      </c>
      <c r="E287" s="25">
        <v>22</v>
      </c>
      <c r="F287" s="25">
        <v>17</v>
      </c>
      <c r="G287" s="25">
        <v>16</v>
      </c>
      <c r="H287" s="25">
        <v>7</v>
      </c>
      <c r="I287" s="24">
        <v>8.4337349397590355E-2</v>
      </c>
      <c r="J287" s="24">
        <v>9.0909090909090912E-2</v>
      </c>
      <c r="K287" s="24">
        <v>1.2575757575757576</v>
      </c>
    </row>
    <row r="288" spans="1:11" hidden="1" x14ac:dyDescent="0.2">
      <c r="A288" s="22" t="s">
        <v>472</v>
      </c>
      <c r="B288" s="25">
        <v>136</v>
      </c>
      <c r="C288" s="25">
        <v>80</v>
      </c>
      <c r="D288" s="25">
        <v>44</v>
      </c>
      <c r="E288" s="25">
        <v>30</v>
      </c>
      <c r="F288" s="25">
        <v>23</v>
      </c>
      <c r="G288" s="25">
        <v>22</v>
      </c>
      <c r="H288" s="25">
        <v>7</v>
      </c>
      <c r="I288" s="24">
        <v>5.1470588235294115E-2</v>
      </c>
      <c r="J288" s="24">
        <v>8.8709677419354843E-2</v>
      </c>
      <c r="K288" s="24">
        <v>1.096774193548387</v>
      </c>
    </row>
    <row r="289" spans="1:11" x14ac:dyDescent="0.2">
      <c r="A289" s="22" t="s">
        <v>869</v>
      </c>
      <c r="B289" s="25">
        <v>29</v>
      </c>
      <c r="C289" s="25">
        <v>28</v>
      </c>
      <c r="D289" s="25">
        <v>21</v>
      </c>
      <c r="E289" s="25">
        <v>17</v>
      </c>
      <c r="F289" s="25">
        <v>13</v>
      </c>
      <c r="G289" s="25">
        <v>12</v>
      </c>
      <c r="H289" s="25">
        <v>7</v>
      </c>
      <c r="I289" s="24">
        <v>0.2413793103448276</v>
      </c>
      <c r="J289" s="24">
        <v>9.0909090909090912E-2</v>
      </c>
      <c r="K289" s="24">
        <v>0.43939393939393939</v>
      </c>
    </row>
    <row r="290" spans="1:11" hidden="1" x14ac:dyDescent="0.2">
      <c r="A290" s="22" t="s">
        <v>870</v>
      </c>
      <c r="B290" s="25">
        <v>103</v>
      </c>
      <c r="C290" s="25">
        <v>74</v>
      </c>
      <c r="D290" s="25">
        <v>50</v>
      </c>
      <c r="E290" s="25">
        <v>37</v>
      </c>
      <c r="F290" s="25">
        <v>29</v>
      </c>
      <c r="G290" s="25">
        <v>29</v>
      </c>
      <c r="H290" s="25">
        <v>7</v>
      </c>
      <c r="I290" s="24">
        <v>6.7961165048543687E-2</v>
      </c>
      <c r="J290" s="24">
        <v>9.0592334494773524E-2</v>
      </c>
      <c r="K290" s="24">
        <v>0.35888501742160278</v>
      </c>
    </row>
    <row r="291" spans="1:11" x14ac:dyDescent="0.2">
      <c r="A291" s="22" t="s">
        <v>871</v>
      </c>
      <c r="B291" s="25">
        <v>43</v>
      </c>
      <c r="C291" s="25">
        <v>33</v>
      </c>
      <c r="D291" s="25">
        <v>27</v>
      </c>
      <c r="E291" s="25">
        <v>23</v>
      </c>
      <c r="F291" s="25">
        <v>18</v>
      </c>
      <c r="G291" s="25">
        <v>15</v>
      </c>
      <c r="H291" s="25">
        <v>7</v>
      </c>
      <c r="I291" s="24">
        <v>0.16279069767441862</v>
      </c>
      <c r="J291" s="24" t="s">
        <v>1233</v>
      </c>
      <c r="K291" s="24">
        <v>0</v>
      </c>
    </row>
    <row r="292" spans="1:11" x14ac:dyDescent="0.2">
      <c r="A292" s="22" t="s">
        <v>872</v>
      </c>
      <c r="B292" s="25">
        <v>53</v>
      </c>
      <c r="C292" s="25">
        <v>45</v>
      </c>
      <c r="D292" s="25">
        <v>26</v>
      </c>
      <c r="E292" s="25">
        <v>20</v>
      </c>
      <c r="F292" s="25">
        <v>17</v>
      </c>
      <c r="G292" s="25">
        <v>16</v>
      </c>
      <c r="H292" s="25">
        <v>7</v>
      </c>
      <c r="I292" s="24">
        <v>0.13207547169811321</v>
      </c>
      <c r="J292" s="24" t="s">
        <v>1233</v>
      </c>
      <c r="K292" s="24">
        <v>0</v>
      </c>
    </row>
    <row r="293" spans="1:11" hidden="1" x14ac:dyDescent="0.2">
      <c r="A293" s="22" t="s">
        <v>351</v>
      </c>
      <c r="B293" s="25">
        <v>78</v>
      </c>
      <c r="C293" s="25">
        <v>47</v>
      </c>
      <c r="D293" s="25">
        <v>36</v>
      </c>
      <c r="E293" s="25">
        <v>31</v>
      </c>
      <c r="F293" s="25">
        <v>21</v>
      </c>
      <c r="G293" s="25">
        <v>20</v>
      </c>
      <c r="H293" s="25">
        <v>7</v>
      </c>
      <c r="I293" s="24">
        <v>8.9743589743589744E-2</v>
      </c>
      <c r="J293" s="24">
        <v>6.6666666666666666E-2</v>
      </c>
      <c r="K293" s="24">
        <v>1.7333333333333334</v>
      </c>
    </row>
    <row r="294" spans="1:11" hidden="1" x14ac:dyDescent="0.2">
      <c r="A294" s="22" t="s">
        <v>423</v>
      </c>
      <c r="B294" s="25">
        <v>135</v>
      </c>
      <c r="C294" s="25">
        <v>70</v>
      </c>
      <c r="D294" s="25">
        <v>49</v>
      </c>
      <c r="E294" s="25">
        <v>40</v>
      </c>
      <c r="F294" s="25">
        <v>29</v>
      </c>
      <c r="G294" s="25">
        <v>27</v>
      </c>
      <c r="H294" s="25">
        <v>7</v>
      </c>
      <c r="I294" s="24">
        <v>5.185185185185185E-2</v>
      </c>
      <c r="J294" s="24">
        <v>2.5316455696202531E-2</v>
      </c>
      <c r="K294" s="24">
        <v>1.7088607594936709</v>
      </c>
    </row>
    <row r="295" spans="1:11" hidden="1" x14ac:dyDescent="0.2">
      <c r="A295" s="22" t="s">
        <v>411</v>
      </c>
      <c r="B295" s="25">
        <v>73</v>
      </c>
      <c r="C295" s="25">
        <v>38</v>
      </c>
      <c r="D295" s="25">
        <v>29</v>
      </c>
      <c r="E295" s="25">
        <v>22</v>
      </c>
      <c r="F295" s="25">
        <v>19</v>
      </c>
      <c r="G295" s="25">
        <v>18</v>
      </c>
      <c r="H295" s="25">
        <v>7</v>
      </c>
      <c r="I295" s="24">
        <v>9.5890410958904104E-2</v>
      </c>
      <c r="J295" s="24">
        <v>8.8235294117647065E-2</v>
      </c>
      <c r="K295" s="24">
        <v>1.0735294117647058</v>
      </c>
    </row>
    <row r="296" spans="1:11" hidden="1" x14ac:dyDescent="0.2">
      <c r="A296" s="22" t="s">
        <v>873</v>
      </c>
      <c r="B296" s="25">
        <v>59</v>
      </c>
      <c r="C296" s="25">
        <v>38</v>
      </c>
      <c r="D296" s="25">
        <v>29</v>
      </c>
      <c r="E296" s="25">
        <v>25</v>
      </c>
      <c r="F296" s="25">
        <v>23</v>
      </c>
      <c r="G296" s="25">
        <v>23</v>
      </c>
      <c r="H296" s="25">
        <v>7</v>
      </c>
      <c r="I296" s="24">
        <v>0.11864406779661017</v>
      </c>
      <c r="J296" s="24">
        <v>5.8823529411764705E-2</v>
      </c>
      <c r="K296" s="24">
        <v>1.7352941176470589</v>
      </c>
    </row>
    <row r="297" spans="1:11" hidden="1" x14ac:dyDescent="0.2">
      <c r="A297" s="22" t="s">
        <v>874</v>
      </c>
      <c r="B297" s="25">
        <v>72</v>
      </c>
      <c r="C297" s="25">
        <v>50</v>
      </c>
      <c r="D297" s="25">
        <v>37</v>
      </c>
      <c r="E297" s="25">
        <v>33</v>
      </c>
      <c r="F297" s="25">
        <v>25</v>
      </c>
      <c r="G297" s="25">
        <v>25</v>
      </c>
      <c r="H297" s="25">
        <v>7</v>
      </c>
      <c r="I297" s="24">
        <v>9.7222222222222224E-2</v>
      </c>
      <c r="J297" s="24">
        <v>0.13953488372093023</v>
      </c>
      <c r="K297" s="24">
        <v>1.6744186046511629</v>
      </c>
    </row>
    <row r="298" spans="1:11" hidden="1" x14ac:dyDescent="0.2">
      <c r="A298" s="22" t="s">
        <v>875</v>
      </c>
      <c r="B298" s="25">
        <v>96</v>
      </c>
      <c r="C298" s="25">
        <v>34</v>
      </c>
      <c r="D298" s="25">
        <v>24</v>
      </c>
      <c r="E298" s="25">
        <v>20</v>
      </c>
      <c r="F298" s="25">
        <v>16</v>
      </c>
      <c r="G298" s="25">
        <v>16</v>
      </c>
      <c r="H298" s="25">
        <v>7</v>
      </c>
      <c r="I298" s="24">
        <v>7.2916666666666671E-2</v>
      </c>
      <c r="J298" s="24">
        <v>5.4794520547945202E-2</v>
      </c>
      <c r="K298" s="24">
        <v>1.3150684931506849</v>
      </c>
    </row>
    <row r="299" spans="1:11" x14ac:dyDescent="0.2">
      <c r="A299" s="22" t="s">
        <v>876</v>
      </c>
      <c r="B299" s="25">
        <v>52</v>
      </c>
      <c r="C299" s="25">
        <v>37</v>
      </c>
      <c r="D299" s="25">
        <v>26</v>
      </c>
      <c r="E299" s="25">
        <v>23</v>
      </c>
      <c r="F299" s="25">
        <v>17</v>
      </c>
      <c r="G299" s="25">
        <v>15</v>
      </c>
      <c r="H299" s="25">
        <v>7</v>
      </c>
      <c r="I299" s="24">
        <v>0.13461538461538461</v>
      </c>
      <c r="J299" s="24">
        <v>0.2</v>
      </c>
      <c r="K299" s="24">
        <v>1.04</v>
      </c>
    </row>
    <row r="300" spans="1:11" hidden="1" x14ac:dyDescent="0.2">
      <c r="A300" s="22" t="s">
        <v>877</v>
      </c>
      <c r="B300" s="25">
        <v>124</v>
      </c>
      <c r="C300" s="25">
        <v>89</v>
      </c>
      <c r="D300" s="25">
        <v>55</v>
      </c>
      <c r="E300" s="25">
        <v>48</v>
      </c>
      <c r="F300" s="25">
        <v>31</v>
      </c>
      <c r="G300" s="25">
        <v>30</v>
      </c>
      <c r="H300" s="25">
        <v>7</v>
      </c>
      <c r="I300" s="24">
        <v>5.6451612903225805E-2</v>
      </c>
      <c r="J300" s="24">
        <v>6.9182389937106917E-2</v>
      </c>
      <c r="K300" s="24">
        <v>0.77987421383647804</v>
      </c>
    </row>
    <row r="301" spans="1:11" hidden="1" x14ac:dyDescent="0.2">
      <c r="A301" s="22" t="s">
        <v>458</v>
      </c>
      <c r="B301" s="25">
        <v>104</v>
      </c>
      <c r="C301" s="25">
        <v>73</v>
      </c>
      <c r="D301" s="25">
        <v>53</v>
      </c>
      <c r="E301" s="25">
        <v>42</v>
      </c>
      <c r="F301" s="25">
        <v>36</v>
      </c>
      <c r="G301" s="25">
        <v>35</v>
      </c>
      <c r="H301" s="25">
        <v>7</v>
      </c>
      <c r="I301" s="24">
        <v>6.7307692307692304E-2</v>
      </c>
      <c r="J301" s="24">
        <v>0.18478260869565216</v>
      </c>
      <c r="K301" s="24">
        <v>1.1304347826086956</v>
      </c>
    </row>
    <row r="302" spans="1:11" x14ac:dyDescent="0.2">
      <c r="A302" s="22" t="s">
        <v>878</v>
      </c>
      <c r="B302" s="25">
        <v>39</v>
      </c>
      <c r="C302" s="25">
        <v>32</v>
      </c>
      <c r="D302" s="25">
        <v>24</v>
      </c>
      <c r="E302" s="25">
        <v>19</v>
      </c>
      <c r="F302" s="25">
        <v>15</v>
      </c>
      <c r="G302" s="25">
        <v>13</v>
      </c>
      <c r="H302" s="25">
        <v>7</v>
      </c>
      <c r="I302" s="24">
        <v>0.17948717948717949</v>
      </c>
      <c r="J302" s="24" t="s">
        <v>1233</v>
      </c>
      <c r="K302" s="24">
        <v>0</v>
      </c>
    </row>
    <row r="303" spans="1:11" hidden="1" x14ac:dyDescent="0.2">
      <c r="A303" s="22" t="s">
        <v>879</v>
      </c>
      <c r="B303" s="25">
        <v>75</v>
      </c>
      <c r="C303" s="25">
        <v>51</v>
      </c>
      <c r="D303" s="25">
        <v>37</v>
      </c>
      <c r="E303" s="25">
        <v>29</v>
      </c>
      <c r="F303" s="25">
        <v>21</v>
      </c>
      <c r="G303" s="25">
        <v>20</v>
      </c>
      <c r="H303" s="25">
        <v>7</v>
      </c>
      <c r="I303" s="24">
        <v>9.3333333333333338E-2</v>
      </c>
      <c r="J303" s="24">
        <v>0.33333333333333331</v>
      </c>
      <c r="K303" s="24">
        <v>25</v>
      </c>
    </row>
    <row r="304" spans="1:11" hidden="1" x14ac:dyDescent="0.2">
      <c r="A304" s="22" t="s">
        <v>460</v>
      </c>
      <c r="B304" s="25">
        <v>74</v>
      </c>
      <c r="C304" s="25">
        <v>53</v>
      </c>
      <c r="D304" s="25">
        <v>37</v>
      </c>
      <c r="E304" s="25">
        <v>30</v>
      </c>
      <c r="F304" s="25">
        <v>18</v>
      </c>
      <c r="G304" s="25">
        <v>18</v>
      </c>
      <c r="H304" s="25">
        <v>7</v>
      </c>
      <c r="I304" s="24">
        <v>9.45945945945946E-2</v>
      </c>
      <c r="J304" s="24">
        <v>0.10975609756097561</v>
      </c>
      <c r="K304" s="24">
        <v>0.90243902439024393</v>
      </c>
    </row>
    <row r="305" spans="1:11" x14ac:dyDescent="0.2">
      <c r="A305" s="22" t="s">
        <v>880</v>
      </c>
      <c r="B305" s="25">
        <v>52</v>
      </c>
      <c r="C305" s="25">
        <v>34</v>
      </c>
      <c r="D305" s="25">
        <v>30</v>
      </c>
      <c r="E305" s="25">
        <v>28</v>
      </c>
      <c r="F305" s="25">
        <v>21</v>
      </c>
      <c r="G305" s="25">
        <v>19</v>
      </c>
      <c r="H305" s="25">
        <v>7</v>
      </c>
      <c r="I305" s="24">
        <v>0.13461538461538461</v>
      </c>
      <c r="J305" s="24">
        <v>0.14000000000000001</v>
      </c>
      <c r="K305" s="24">
        <v>1.04</v>
      </c>
    </row>
    <row r="306" spans="1:11" x14ac:dyDescent="0.2">
      <c r="A306" s="22" t="s">
        <v>881</v>
      </c>
      <c r="B306" s="25">
        <v>50</v>
      </c>
      <c r="C306" s="25">
        <v>30</v>
      </c>
      <c r="D306" s="25">
        <v>22</v>
      </c>
      <c r="E306" s="25">
        <v>21</v>
      </c>
      <c r="F306" s="25">
        <v>19</v>
      </c>
      <c r="G306" s="25">
        <v>18</v>
      </c>
      <c r="H306" s="25">
        <v>7</v>
      </c>
      <c r="I306" s="24">
        <v>0.14000000000000001</v>
      </c>
      <c r="J306" s="24">
        <v>0.17543859649122806</v>
      </c>
      <c r="K306" s="24">
        <v>0.8771929824561403</v>
      </c>
    </row>
    <row r="307" spans="1:11" x14ac:dyDescent="0.2">
      <c r="A307" s="22" t="s">
        <v>882</v>
      </c>
      <c r="B307" s="25">
        <v>29</v>
      </c>
      <c r="C307" s="25">
        <v>22</v>
      </c>
      <c r="D307" s="25">
        <v>18</v>
      </c>
      <c r="E307" s="25">
        <v>18</v>
      </c>
      <c r="F307" s="25">
        <v>14</v>
      </c>
      <c r="G307" s="25">
        <v>13</v>
      </c>
      <c r="H307" s="25">
        <v>7</v>
      </c>
      <c r="I307" s="24">
        <v>0.2413793103448276</v>
      </c>
      <c r="J307" s="24" t="s">
        <v>1233</v>
      </c>
      <c r="K307" s="24">
        <v>0</v>
      </c>
    </row>
    <row r="308" spans="1:11" x14ac:dyDescent="0.2">
      <c r="A308" s="22" t="s">
        <v>883</v>
      </c>
      <c r="B308" s="25">
        <v>36</v>
      </c>
      <c r="C308" s="25">
        <v>36</v>
      </c>
      <c r="D308" s="25">
        <v>26</v>
      </c>
      <c r="E308" s="25">
        <v>22</v>
      </c>
      <c r="F308" s="25">
        <v>17</v>
      </c>
      <c r="G308" s="25">
        <v>17</v>
      </c>
      <c r="H308" s="25">
        <v>7</v>
      </c>
      <c r="I308" s="24">
        <v>0.19444444444444445</v>
      </c>
      <c r="J308" s="24" t="s">
        <v>1233</v>
      </c>
      <c r="K308" s="24">
        <v>0</v>
      </c>
    </row>
    <row r="309" spans="1:11" x14ac:dyDescent="0.2">
      <c r="A309" s="22" t="s">
        <v>884</v>
      </c>
      <c r="B309" s="25">
        <v>58</v>
      </c>
      <c r="C309" s="25">
        <v>42</v>
      </c>
      <c r="D309" s="25">
        <v>26</v>
      </c>
      <c r="E309" s="25">
        <v>23</v>
      </c>
      <c r="F309" s="25">
        <v>17</v>
      </c>
      <c r="G309" s="25">
        <v>17</v>
      </c>
      <c r="H309" s="25">
        <v>7</v>
      </c>
      <c r="I309" s="24">
        <v>0.1206896551724138</v>
      </c>
      <c r="J309" s="24" t="s">
        <v>1233</v>
      </c>
      <c r="K309" s="24">
        <v>0</v>
      </c>
    </row>
    <row r="310" spans="1:11" hidden="1" x14ac:dyDescent="0.2">
      <c r="A310" s="22" t="s">
        <v>885</v>
      </c>
      <c r="B310" s="25">
        <v>62</v>
      </c>
      <c r="C310" s="25">
        <v>40</v>
      </c>
      <c r="D310" s="25">
        <v>25</v>
      </c>
      <c r="E310" s="25">
        <v>19</v>
      </c>
      <c r="F310" s="25">
        <v>15</v>
      </c>
      <c r="G310" s="25">
        <v>15</v>
      </c>
      <c r="H310" s="25">
        <v>7</v>
      </c>
      <c r="I310" s="24">
        <v>0.11290322580645161</v>
      </c>
      <c r="J310" s="24">
        <v>0.15736040609137056</v>
      </c>
      <c r="K310" s="24">
        <v>0.31472081218274112</v>
      </c>
    </row>
    <row r="311" spans="1:11" hidden="1" x14ac:dyDescent="0.2">
      <c r="A311" s="22" t="s">
        <v>886</v>
      </c>
      <c r="B311" s="25">
        <v>68</v>
      </c>
      <c r="C311" s="25">
        <v>20</v>
      </c>
      <c r="D311" s="25">
        <v>14</v>
      </c>
      <c r="E311" s="25">
        <v>13</v>
      </c>
      <c r="F311" s="25">
        <v>11</v>
      </c>
      <c r="G311" s="25">
        <v>11</v>
      </c>
      <c r="H311" s="25">
        <v>6</v>
      </c>
      <c r="I311" s="24">
        <v>8.8235294117647065E-2</v>
      </c>
      <c r="J311" s="24">
        <v>8.6956521739130432E-2</v>
      </c>
      <c r="K311" s="24">
        <v>1.4782608695652173</v>
      </c>
    </row>
    <row r="312" spans="1:11" hidden="1" x14ac:dyDescent="0.2">
      <c r="A312" s="22" t="s">
        <v>887</v>
      </c>
      <c r="B312" s="25">
        <v>59</v>
      </c>
      <c r="C312" s="25">
        <v>38</v>
      </c>
      <c r="D312" s="25">
        <v>28</v>
      </c>
      <c r="E312" s="25">
        <v>25</v>
      </c>
      <c r="F312" s="25">
        <v>14</v>
      </c>
      <c r="G312" s="25">
        <v>12</v>
      </c>
      <c r="H312" s="25">
        <v>6</v>
      </c>
      <c r="I312" s="24">
        <v>0.10169491525423729</v>
      </c>
      <c r="J312" s="24">
        <v>4.6511627906976744E-2</v>
      </c>
      <c r="K312" s="24">
        <v>1.3720930232558139</v>
      </c>
    </row>
    <row r="313" spans="1:11" hidden="1" x14ac:dyDescent="0.2">
      <c r="A313" s="22" t="s">
        <v>421</v>
      </c>
      <c r="B313" s="25">
        <v>77</v>
      </c>
      <c r="C313" s="25">
        <v>46</v>
      </c>
      <c r="D313" s="25">
        <v>32</v>
      </c>
      <c r="E313" s="25">
        <v>28</v>
      </c>
      <c r="F313" s="25">
        <v>23</v>
      </c>
      <c r="G313" s="25">
        <v>21</v>
      </c>
      <c r="H313" s="25">
        <v>6</v>
      </c>
      <c r="I313" s="24">
        <v>7.792207792207792E-2</v>
      </c>
      <c r="J313" s="24">
        <v>0.10204081632653061</v>
      </c>
      <c r="K313" s="24">
        <v>1.5714285714285714</v>
      </c>
    </row>
    <row r="314" spans="1:11" hidden="1" x14ac:dyDescent="0.2">
      <c r="A314" s="22" t="s">
        <v>320</v>
      </c>
      <c r="B314" s="25">
        <v>134</v>
      </c>
      <c r="C314" s="25">
        <v>46</v>
      </c>
      <c r="D314" s="25">
        <v>27</v>
      </c>
      <c r="E314" s="25">
        <v>22</v>
      </c>
      <c r="F314" s="25">
        <v>18</v>
      </c>
      <c r="G314" s="25">
        <v>18</v>
      </c>
      <c r="H314" s="25">
        <v>6</v>
      </c>
      <c r="I314" s="24">
        <v>4.4776119402985072E-2</v>
      </c>
      <c r="J314" s="24" t="s">
        <v>1233</v>
      </c>
      <c r="K314" s="24">
        <v>0</v>
      </c>
    </row>
    <row r="315" spans="1:11" x14ac:dyDescent="0.2">
      <c r="A315" s="22" t="s">
        <v>626</v>
      </c>
      <c r="B315" s="25">
        <v>39</v>
      </c>
      <c r="C315" s="25">
        <v>36</v>
      </c>
      <c r="D315" s="25">
        <v>28</v>
      </c>
      <c r="E315" s="25">
        <v>23</v>
      </c>
      <c r="F315" s="25">
        <v>20</v>
      </c>
      <c r="G315" s="25">
        <v>18</v>
      </c>
      <c r="H315" s="25">
        <v>6</v>
      </c>
      <c r="I315" s="24">
        <v>0.15384615384615385</v>
      </c>
      <c r="J315" s="24">
        <v>0.13513513513513514</v>
      </c>
      <c r="K315" s="24">
        <v>1.0540540540540539</v>
      </c>
    </row>
    <row r="316" spans="1:11" x14ac:dyDescent="0.2">
      <c r="A316" s="22" t="s">
        <v>662</v>
      </c>
      <c r="B316" s="25">
        <v>42</v>
      </c>
      <c r="C316" s="25">
        <v>37</v>
      </c>
      <c r="D316" s="25">
        <v>22</v>
      </c>
      <c r="E316" s="25">
        <v>20</v>
      </c>
      <c r="F316" s="25">
        <v>15</v>
      </c>
      <c r="G316" s="25">
        <v>14</v>
      </c>
      <c r="H316" s="25">
        <v>6</v>
      </c>
      <c r="I316" s="24">
        <v>0.14285714285714285</v>
      </c>
      <c r="J316" s="24" t="s">
        <v>1233</v>
      </c>
      <c r="K316" s="24">
        <v>0</v>
      </c>
    </row>
    <row r="317" spans="1:11" x14ac:dyDescent="0.2">
      <c r="A317" s="22" t="s">
        <v>888</v>
      </c>
      <c r="B317" s="25">
        <v>40</v>
      </c>
      <c r="C317" s="25">
        <v>27</v>
      </c>
      <c r="D317" s="25">
        <v>23</v>
      </c>
      <c r="E317" s="25">
        <v>20</v>
      </c>
      <c r="F317" s="25">
        <v>17</v>
      </c>
      <c r="G317" s="25">
        <v>16</v>
      </c>
      <c r="H317" s="25">
        <v>6</v>
      </c>
      <c r="I317" s="24">
        <v>0.15</v>
      </c>
      <c r="J317" s="24">
        <v>0.18666666666666668</v>
      </c>
      <c r="K317" s="24">
        <v>0.53333333333333333</v>
      </c>
    </row>
    <row r="318" spans="1:11" hidden="1" x14ac:dyDescent="0.2">
      <c r="A318" s="22" t="s">
        <v>889</v>
      </c>
      <c r="B318" s="25">
        <v>112</v>
      </c>
      <c r="C318" s="25">
        <v>83</v>
      </c>
      <c r="D318" s="25">
        <v>67</v>
      </c>
      <c r="E318" s="25">
        <v>56</v>
      </c>
      <c r="F318" s="25">
        <v>36</v>
      </c>
      <c r="G318" s="25">
        <v>35</v>
      </c>
      <c r="H318" s="25">
        <v>6</v>
      </c>
      <c r="I318" s="24">
        <v>5.3571428571428568E-2</v>
      </c>
      <c r="J318" s="24" t="s">
        <v>1233</v>
      </c>
      <c r="K318" s="24">
        <v>0</v>
      </c>
    </row>
    <row r="319" spans="1:11" hidden="1" x14ac:dyDescent="0.2">
      <c r="A319" s="22" t="s">
        <v>776</v>
      </c>
      <c r="B319" s="25">
        <v>211</v>
      </c>
      <c r="C319" s="25">
        <v>72</v>
      </c>
      <c r="D319" s="25">
        <v>40</v>
      </c>
      <c r="E319" s="25">
        <v>33</v>
      </c>
      <c r="F319" s="25">
        <v>24</v>
      </c>
      <c r="G319" s="25">
        <v>23</v>
      </c>
      <c r="H319" s="25">
        <v>6</v>
      </c>
      <c r="I319" s="24">
        <v>2.843601895734597E-2</v>
      </c>
      <c r="J319" s="24" t="s">
        <v>1233</v>
      </c>
      <c r="K319" s="24">
        <v>0</v>
      </c>
    </row>
    <row r="320" spans="1:11" hidden="1" x14ac:dyDescent="0.2">
      <c r="A320" s="22" t="s">
        <v>540</v>
      </c>
      <c r="B320" s="25">
        <v>125</v>
      </c>
      <c r="C320" s="25">
        <v>77</v>
      </c>
      <c r="D320" s="25">
        <v>42</v>
      </c>
      <c r="E320" s="25">
        <v>34</v>
      </c>
      <c r="F320" s="25">
        <v>27</v>
      </c>
      <c r="G320" s="25">
        <v>27</v>
      </c>
      <c r="H320" s="25">
        <v>6</v>
      </c>
      <c r="I320" s="24">
        <v>4.8000000000000001E-2</v>
      </c>
      <c r="J320" s="24">
        <v>1.7241379310344827E-2</v>
      </c>
      <c r="K320" s="24">
        <v>2.1551724137931036</v>
      </c>
    </row>
    <row r="321" spans="1:11" hidden="1" x14ac:dyDescent="0.2">
      <c r="A321" s="22" t="s">
        <v>413</v>
      </c>
      <c r="B321" s="25">
        <v>117</v>
      </c>
      <c r="C321" s="25">
        <v>40</v>
      </c>
      <c r="D321" s="25">
        <v>33</v>
      </c>
      <c r="E321" s="25">
        <v>31</v>
      </c>
      <c r="F321" s="25">
        <v>22</v>
      </c>
      <c r="G321" s="25">
        <v>21</v>
      </c>
      <c r="H321" s="25">
        <v>6</v>
      </c>
      <c r="I321" s="24">
        <v>5.128205128205128E-2</v>
      </c>
      <c r="J321" s="24">
        <v>2.8301886792452831E-2</v>
      </c>
      <c r="K321" s="24">
        <v>1.1037735849056605</v>
      </c>
    </row>
    <row r="322" spans="1:11" hidden="1" x14ac:dyDescent="0.2">
      <c r="A322" s="22" t="s">
        <v>484</v>
      </c>
      <c r="B322" s="25">
        <v>178</v>
      </c>
      <c r="C322" s="25">
        <v>117</v>
      </c>
      <c r="D322" s="25">
        <v>40</v>
      </c>
      <c r="E322" s="25">
        <v>28</v>
      </c>
      <c r="F322" s="25">
        <v>21</v>
      </c>
      <c r="G322" s="25">
        <v>20</v>
      </c>
      <c r="H322" s="25">
        <v>6</v>
      </c>
      <c r="I322" s="24">
        <v>3.3707865168539325E-2</v>
      </c>
      <c r="J322" s="24">
        <v>0.05</v>
      </c>
      <c r="K322" s="24">
        <v>1.1125</v>
      </c>
    </row>
    <row r="323" spans="1:11" hidden="1" x14ac:dyDescent="0.2">
      <c r="A323" s="22" t="s">
        <v>337</v>
      </c>
      <c r="B323" s="25">
        <v>171</v>
      </c>
      <c r="C323" s="25">
        <v>77</v>
      </c>
      <c r="D323" s="25">
        <v>45</v>
      </c>
      <c r="E323" s="25">
        <v>39</v>
      </c>
      <c r="F323" s="25">
        <v>26</v>
      </c>
      <c r="G323" s="25">
        <v>26</v>
      </c>
      <c r="H323" s="25">
        <v>6</v>
      </c>
      <c r="I323" s="24">
        <v>3.5087719298245612E-2</v>
      </c>
      <c r="J323" s="24">
        <v>5.3191489361702128E-2</v>
      </c>
      <c r="K323" s="24">
        <v>1.8191489361702127</v>
      </c>
    </row>
    <row r="324" spans="1:11" x14ac:dyDescent="0.2">
      <c r="A324" s="22" t="s">
        <v>890</v>
      </c>
      <c r="B324" s="25">
        <v>47</v>
      </c>
      <c r="C324" s="25">
        <v>26</v>
      </c>
      <c r="D324" s="25">
        <v>20</v>
      </c>
      <c r="E324" s="25">
        <v>17</v>
      </c>
      <c r="F324" s="25">
        <v>12</v>
      </c>
      <c r="G324" s="25">
        <v>11</v>
      </c>
      <c r="H324" s="25">
        <v>6</v>
      </c>
      <c r="I324" s="24">
        <v>0.1276595744680851</v>
      </c>
      <c r="J324" s="24">
        <v>0.15384615384615385</v>
      </c>
      <c r="K324" s="24">
        <v>1.8076923076923077</v>
      </c>
    </row>
    <row r="325" spans="1:11" hidden="1" x14ac:dyDescent="0.2">
      <c r="A325" s="22" t="s">
        <v>419</v>
      </c>
      <c r="B325" s="25">
        <v>89</v>
      </c>
      <c r="C325" s="25">
        <v>38</v>
      </c>
      <c r="D325" s="25">
        <v>25</v>
      </c>
      <c r="E325" s="25">
        <v>21</v>
      </c>
      <c r="F325" s="25">
        <v>16</v>
      </c>
      <c r="G325" s="25">
        <v>13</v>
      </c>
      <c r="H325" s="25">
        <v>6</v>
      </c>
      <c r="I325" s="24">
        <v>6.741573033707865E-2</v>
      </c>
      <c r="J325" s="24" t="s">
        <v>1233</v>
      </c>
      <c r="K325" s="24">
        <v>0</v>
      </c>
    </row>
    <row r="326" spans="1:11" hidden="1" x14ac:dyDescent="0.2">
      <c r="A326" s="22" t="s">
        <v>891</v>
      </c>
      <c r="B326" s="25">
        <v>83</v>
      </c>
      <c r="C326" s="25">
        <v>49</v>
      </c>
      <c r="D326" s="25">
        <v>33</v>
      </c>
      <c r="E326" s="25">
        <v>26</v>
      </c>
      <c r="F326" s="25">
        <v>20</v>
      </c>
      <c r="G326" s="25">
        <v>17</v>
      </c>
      <c r="H326" s="25">
        <v>6</v>
      </c>
      <c r="I326" s="24">
        <v>7.2289156626506021E-2</v>
      </c>
      <c r="J326" s="24">
        <v>4.0816326530612242E-2</v>
      </c>
      <c r="K326" s="24">
        <v>1.6938775510204083</v>
      </c>
    </row>
    <row r="327" spans="1:11" hidden="1" x14ac:dyDescent="0.2">
      <c r="A327" s="22" t="s">
        <v>892</v>
      </c>
      <c r="B327" s="25">
        <v>55</v>
      </c>
      <c r="C327" s="25">
        <v>35</v>
      </c>
      <c r="D327" s="25">
        <v>20</v>
      </c>
      <c r="E327" s="25">
        <v>18</v>
      </c>
      <c r="F327" s="25">
        <v>15</v>
      </c>
      <c r="G327" s="25">
        <v>14</v>
      </c>
      <c r="H327" s="25">
        <v>6</v>
      </c>
      <c r="I327" s="24">
        <v>0.10909090909090909</v>
      </c>
      <c r="J327" s="24">
        <v>5.3571428571428568E-2</v>
      </c>
      <c r="K327" s="24">
        <v>0.9821428571428571</v>
      </c>
    </row>
    <row r="328" spans="1:11" hidden="1" x14ac:dyDescent="0.2">
      <c r="A328" s="22" t="s">
        <v>893</v>
      </c>
      <c r="B328" s="25">
        <v>74</v>
      </c>
      <c r="C328" s="25">
        <v>43</v>
      </c>
      <c r="D328" s="25">
        <v>29</v>
      </c>
      <c r="E328" s="25">
        <v>27</v>
      </c>
      <c r="F328" s="25">
        <v>18</v>
      </c>
      <c r="G328" s="25">
        <v>16</v>
      </c>
      <c r="H328" s="25">
        <v>6</v>
      </c>
      <c r="I328" s="24">
        <v>8.1081081081081086E-2</v>
      </c>
      <c r="J328" s="24" t="s">
        <v>1233</v>
      </c>
      <c r="K328" s="24">
        <v>0</v>
      </c>
    </row>
    <row r="329" spans="1:11" x14ac:dyDescent="0.2">
      <c r="A329" s="22" t="s">
        <v>894</v>
      </c>
      <c r="B329" s="25">
        <v>43</v>
      </c>
      <c r="C329" s="25">
        <v>35</v>
      </c>
      <c r="D329" s="25">
        <v>24</v>
      </c>
      <c r="E329" s="25">
        <v>20</v>
      </c>
      <c r="F329" s="25">
        <v>16</v>
      </c>
      <c r="G329" s="25">
        <v>15</v>
      </c>
      <c r="H329" s="25">
        <v>6</v>
      </c>
      <c r="I329" s="24">
        <v>0.13953488372093023</v>
      </c>
      <c r="J329" s="24">
        <v>0.15384615384615385</v>
      </c>
      <c r="K329" s="24">
        <v>3.3076923076923075</v>
      </c>
    </row>
    <row r="330" spans="1:11" hidden="1" x14ac:dyDescent="0.2">
      <c r="A330" s="22" t="s">
        <v>552</v>
      </c>
      <c r="B330" s="25">
        <v>49</v>
      </c>
      <c r="C330" s="25">
        <v>33</v>
      </c>
      <c r="D330" s="25">
        <v>24</v>
      </c>
      <c r="E330" s="25">
        <v>19</v>
      </c>
      <c r="F330" s="25">
        <v>16</v>
      </c>
      <c r="G330" s="25">
        <v>15</v>
      </c>
      <c r="H330" s="25">
        <v>5</v>
      </c>
      <c r="I330" s="24">
        <v>0.10204081632653061</v>
      </c>
      <c r="J330" s="24">
        <v>0.11538461538461539</v>
      </c>
      <c r="K330" s="24">
        <v>1.8846153846153846</v>
      </c>
    </row>
    <row r="331" spans="1:11" hidden="1" x14ac:dyDescent="0.2">
      <c r="A331" s="22" t="s">
        <v>750</v>
      </c>
      <c r="B331" s="25">
        <v>171</v>
      </c>
      <c r="C331" s="25">
        <v>76</v>
      </c>
      <c r="D331" s="25">
        <v>40</v>
      </c>
      <c r="E331" s="25">
        <v>30</v>
      </c>
      <c r="F331" s="25">
        <v>25</v>
      </c>
      <c r="G331" s="25">
        <v>22</v>
      </c>
      <c r="H331" s="25">
        <v>5</v>
      </c>
      <c r="I331" s="24">
        <v>2.9239766081871343E-2</v>
      </c>
      <c r="J331" s="24">
        <v>4.2682926829268296E-2</v>
      </c>
      <c r="K331" s="24">
        <v>1.0426829268292683</v>
      </c>
    </row>
    <row r="332" spans="1:11" hidden="1" x14ac:dyDescent="0.2">
      <c r="A332" s="22" t="s">
        <v>895</v>
      </c>
      <c r="B332" s="25">
        <v>57</v>
      </c>
      <c r="C332" s="25">
        <v>38</v>
      </c>
      <c r="D332" s="25">
        <v>24</v>
      </c>
      <c r="E332" s="25">
        <v>20</v>
      </c>
      <c r="F332" s="25">
        <v>13</v>
      </c>
      <c r="G332" s="25">
        <v>13</v>
      </c>
      <c r="H332" s="25">
        <v>5</v>
      </c>
      <c r="I332" s="24">
        <v>8.771929824561403E-2</v>
      </c>
      <c r="J332" s="24" t="s">
        <v>1233</v>
      </c>
      <c r="K332" s="24">
        <v>0</v>
      </c>
    </row>
    <row r="333" spans="1:11" x14ac:dyDescent="0.2">
      <c r="A333" s="22" t="s">
        <v>359</v>
      </c>
      <c r="B333" s="25">
        <v>29</v>
      </c>
      <c r="C333" s="25">
        <v>14</v>
      </c>
      <c r="D333" s="25">
        <v>13</v>
      </c>
      <c r="E333" s="25">
        <v>11</v>
      </c>
      <c r="F333" s="25">
        <v>11</v>
      </c>
      <c r="G333" s="25">
        <v>11</v>
      </c>
      <c r="H333" s="25">
        <v>5</v>
      </c>
      <c r="I333" s="24">
        <v>0.17241379310344829</v>
      </c>
      <c r="J333" s="24">
        <v>6.25E-2</v>
      </c>
      <c r="K333" s="24">
        <v>1.8125</v>
      </c>
    </row>
    <row r="334" spans="1:11" hidden="1" x14ac:dyDescent="0.2">
      <c r="A334" s="22" t="s">
        <v>381</v>
      </c>
      <c r="B334" s="25">
        <v>94</v>
      </c>
      <c r="C334" s="25">
        <v>39</v>
      </c>
      <c r="D334" s="25">
        <v>29</v>
      </c>
      <c r="E334" s="25">
        <v>26</v>
      </c>
      <c r="F334" s="25">
        <v>21</v>
      </c>
      <c r="G334" s="25">
        <v>20</v>
      </c>
      <c r="H334" s="25">
        <v>5</v>
      </c>
      <c r="I334" s="24">
        <v>5.3191489361702128E-2</v>
      </c>
      <c r="J334" s="24">
        <v>0.13559322033898305</v>
      </c>
      <c r="K334" s="24">
        <v>1.5932203389830508</v>
      </c>
    </row>
    <row r="335" spans="1:11" x14ac:dyDescent="0.2">
      <c r="A335" s="22" t="s">
        <v>896</v>
      </c>
      <c r="B335" s="25">
        <v>12</v>
      </c>
      <c r="C335" s="25">
        <v>11</v>
      </c>
      <c r="D335" s="25">
        <v>8</v>
      </c>
      <c r="E335" s="25">
        <v>8</v>
      </c>
      <c r="F335" s="25">
        <v>8</v>
      </c>
      <c r="G335" s="25">
        <v>8</v>
      </c>
      <c r="H335" s="25">
        <v>5</v>
      </c>
      <c r="I335" s="24">
        <v>0.41666666666666669</v>
      </c>
      <c r="J335" s="24" t="s">
        <v>1233</v>
      </c>
      <c r="K335" s="24">
        <v>0</v>
      </c>
    </row>
    <row r="336" spans="1:11" x14ac:dyDescent="0.2">
      <c r="A336" s="22" t="s">
        <v>897</v>
      </c>
      <c r="B336" s="25">
        <v>15</v>
      </c>
      <c r="C336" s="25">
        <v>13</v>
      </c>
      <c r="D336" s="25">
        <v>13</v>
      </c>
      <c r="E336" s="25">
        <v>13</v>
      </c>
      <c r="F336" s="25">
        <v>12</v>
      </c>
      <c r="G336" s="25">
        <v>11</v>
      </c>
      <c r="H336" s="25">
        <v>5</v>
      </c>
      <c r="I336" s="24">
        <v>0.33333333333333331</v>
      </c>
      <c r="J336" s="24" t="s">
        <v>1233</v>
      </c>
      <c r="K336" s="24">
        <v>0</v>
      </c>
    </row>
    <row r="337" spans="1:11" hidden="1" x14ac:dyDescent="0.2">
      <c r="A337" s="22" t="s">
        <v>269</v>
      </c>
      <c r="B337" s="25">
        <v>225</v>
      </c>
      <c r="C337" s="25">
        <v>100</v>
      </c>
      <c r="D337" s="25">
        <v>64</v>
      </c>
      <c r="E337" s="25">
        <v>50</v>
      </c>
      <c r="F337" s="25">
        <v>36</v>
      </c>
      <c r="G337" s="25">
        <v>36</v>
      </c>
      <c r="H337" s="25">
        <v>5</v>
      </c>
      <c r="I337" s="24">
        <v>2.2222222222222223E-2</v>
      </c>
      <c r="J337" s="24">
        <v>3.5087719298245612E-2</v>
      </c>
      <c r="K337" s="24">
        <v>1.9736842105263157</v>
      </c>
    </row>
    <row r="338" spans="1:11" x14ac:dyDescent="0.2">
      <c r="A338" s="22" t="s">
        <v>898</v>
      </c>
      <c r="B338" s="25">
        <v>23</v>
      </c>
      <c r="C338" s="25">
        <v>20</v>
      </c>
      <c r="D338" s="25">
        <v>17</v>
      </c>
      <c r="E338" s="25">
        <v>16</v>
      </c>
      <c r="F338" s="25">
        <v>14</v>
      </c>
      <c r="G338" s="25">
        <v>14</v>
      </c>
      <c r="H338" s="25">
        <v>5</v>
      </c>
      <c r="I338" s="24">
        <v>0.21739130434782608</v>
      </c>
      <c r="J338" s="24">
        <v>5.7692307692307696E-2</v>
      </c>
      <c r="K338" s="24">
        <v>0.44230769230769229</v>
      </c>
    </row>
    <row r="339" spans="1:11" x14ac:dyDescent="0.2">
      <c r="A339" s="22" t="s">
        <v>899</v>
      </c>
      <c r="B339" s="25">
        <v>33</v>
      </c>
      <c r="C339" s="25">
        <v>19</v>
      </c>
      <c r="D339" s="25">
        <v>13</v>
      </c>
      <c r="E339" s="25">
        <v>13</v>
      </c>
      <c r="F339" s="25">
        <v>10</v>
      </c>
      <c r="G339" s="25">
        <v>10</v>
      </c>
      <c r="H339" s="25">
        <v>5</v>
      </c>
      <c r="I339" s="24">
        <v>0.15151515151515152</v>
      </c>
      <c r="J339" s="24">
        <v>6.8965517241379309E-2</v>
      </c>
      <c r="K339" s="24">
        <v>1.1379310344827587</v>
      </c>
    </row>
    <row r="340" spans="1:11" hidden="1" x14ac:dyDescent="0.2">
      <c r="A340" s="22" t="s">
        <v>774</v>
      </c>
      <c r="B340" s="25">
        <v>63</v>
      </c>
      <c r="C340" s="25">
        <v>27</v>
      </c>
      <c r="D340" s="25">
        <v>16</v>
      </c>
      <c r="E340" s="25">
        <v>16</v>
      </c>
      <c r="F340" s="25">
        <v>12</v>
      </c>
      <c r="G340" s="25">
        <v>12</v>
      </c>
      <c r="H340" s="25">
        <v>5</v>
      </c>
      <c r="I340" s="24">
        <v>7.9365079365079361E-2</v>
      </c>
      <c r="J340" s="24" t="s">
        <v>1233</v>
      </c>
      <c r="K340" s="24">
        <v>0</v>
      </c>
    </row>
    <row r="341" spans="1:11" x14ac:dyDescent="0.2">
      <c r="A341" s="22" t="s">
        <v>900</v>
      </c>
      <c r="B341" s="25">
        <v>38</v>
      </c>
      <c r="C341" s="25">
        <v>27</v>
      </c>
      <c r="D341" s="25">
        <v>24</v>
      </c>
      <c r="E341" s="25">
        <v>20</v>
      </c>
      <c r="F341" s="25">
        <v>14</v>
      </c>
      <c r="G341" s="25">
        <v>11</v>
      </c>
      <c r="H341" s="25">
        <v>5</v>
      </c>
      <c r="I341" s="24">
        <v>0.13157894736842105</v>
      </c>
      <c r="J341" s="24">
        <v>0.21739130434782608</v>
      </c>
      <c r="K341" s="24">
        <v>1.6521739130434783</v>
      </c>
    </row>
    <row r="342" spans="1:11" hidden="1" x14ac:dyDescent="0.2">
      <c r="A342" s="22" t="s">
        <v>792</v>
      </c>
      <c r="B342" s="25">
        <v>78</v>
      </c>
      <c r="C342" s="25">
        <v>63</v>
      </c>
      <c r="D342" s="25">
        <v>43</v>
      </c>
      <c r="E342" s="25">
        <v>38</v>
      </c>
      <c r="F342" s="25">
        <v>24</v>
      </c>
      <c r="G342" s="25">
        <v>21</v>
      </c>
      <c r="H342" s="25">
        <v>5</v>
      </c>
      <c r="I342" s="24">
        <v>6.4102564102564097E-2</v>
      </c>
      <c r="J342" s="24">
        <v>2.564102564102564E-2</v>
      </c>
      <c r="K342" s="24">
        <v>2</v>
      </c>
    </row>
    <row r="343" spans="1:11" hidden="1" x14ac:dyDescent="0.2">
      <c r="A343" s="22" t="s">
        <v>901</v>
      </c>
      <c r="B343" s="25">
        <v>52</v>
      </c>
      <c r="C343" s="25">
        <v>41</v>
      </c>
      <c r="D343" s="25">
        <v>29</v>
      </c>
      <c r="E343" s="25">
        <v>23</v>
      </c>
      <c r="F343" s="25">
        <v>18</v>
      </c>
      <c r="G343" s="25">
        <v>16</v>
      </c>
      <c r="H343" s="25">
        <v>5</v>
      </c>
      <c r="I343" s="24">
        <v>9.6153846153846159E-2</v>
      </c>
      <c r="J343" s="24">
        <v>5.7142857142857141E-2</v>
      </c>
      <c r="K343" s="24">
        <v>1.4857142857142858</v>
      </c>
    </row>
    <row r="344" spans="1:11" x14ac:dyDescent="0.2">
      <c r="A344" s="22" t="s">
        <v>902</v>
      </c>
      <c r="B344" s="25">
        <v>33</v>
      </c>
      <c r="C344" s="25">
        <v>27</v>
      </c>
      <c r="D344" s="25">
        <v>19</v>
      </c>
      <c r="E344" s="25">
        <v>14</v>
      </c>
      <c r="F344" s="25">
        <v>12</v>
      </c>
      <c r="G344" s="25">
        <v>12</v>
      </c>
      <c r="H344" s="25">
        <v>5</v>
      </c>
      <c r="I344" s="24">
        <v>0.15151515151515152</v>
      </c>
      <c r="J344" s="24">
        <v>0.15384615384615385</v>
      </c>
      <c r="K344" s="24">
        <v>0.84615384615384615</v>
      </c>
    </row>
    <row r="345" spans="1:11" hidden="1" x14ac:dyDescent="0.2">
      <c r="A345" s="22" t="s">
        <v>903</v>
      </c>
      <c r="B345" s="25">
        <v>48</v>
      </c>
      <c r="C345" s="25">
        <v>31</v>
      </c>
      <c r="D345" s="25">
        <v>18</v>
      </c>
      <c r="E345" s="25">
        <v>13</v>
      </c>
      <c r="F345" s="25">
        <v>11</v>
      </c>
      <c r="G345" s="25">
        <v>11</v>
      </c>
      <c r="H345" s="25">
        <v>5</v>
      </c>
      <c r="I345" s="24">
        <v>0.10416666666666667</v>
      </c>
      <c r="J345" s="24" t="s">
        <v>1233</v>
      </c>
      <c r="K345" s="24">
        <v>0</v>
      </c>
    </row>
    <row r="346" spans="1:11" x14ac:dyDescent="0.2">
      <c r="A346" s="22" t="s">
        <v>904</v>
      </c>
      <c r="B346" s="25">
        <v>20</v>
      </c>
      <c r="C346" s="25">
        <v>16</v>
      </c>
      <c r="D346" s="25">
        <v>15</v>
      </c>
      <c r="E346" s="25">
        <v>12</v>
      </c>
      <c r="F346" s="25">
        <v>12</v>
      </c>
      <c r="G346" s="25">
        <v>11</v>
      </c>
      <c r="H346" s="25">
        <v>5</v>
      </c>
      <c r="I346" s="24">
        <v>0.25</v>
      </c>
      <c r="J346" s="24" t="s">
        <v>1233</v>
      </c>
      <c r="K346" s="24">
        <v>0</v>
      </c>
    </row>
    <row r="347" spans="1:11" x14ac:dyDescent="0.2">
      <c r="A347" s="22" t="s">
        <v>672</v>
      </c>
      <c r="B347" s="25">
        <v>38</v>
      </c>
      <c r="C347" s="25">
        <v>31</v>
      </c>
      <c r="D347" s="25">
        <v>29</v>
      </c>
      <c r="E347" s="25">
        <v>23</v>
      </c>
      <c r="F347" s="25">
        <v>18</v>
      </c>
      <c r="G347" s="25">
        <v>17</v>
      </c>
      <c r="H347" s="25">
        <v>5</v>
      </c>
      <c r="I347" s="24">
        <v>0.13157894736842105</v>
      </c>
      <c r="J347" s="24" t="s">
        <v>1233</v>
      </c>
      <c r="K347" s="24">
        <v>0</v>
      </c>
    </row>
    <row r="348" spans="1:11" hidden="1" x14ac:dyDescent="0.2">
      <c r="A348" s="22" t="s">
        <v>494</v>
      </c>
      <c r="B348" s="25">
        <v>54</v>
      </c>
      <c r="C348" s="25">
        <v>34</v>
      </c>
      <c r="D348" s="25">
        <v>22</v>
      </c>
      <c r="E348" s="25">
        <v>16</v>
      </c>
      <c r="F348" s="25">
        <v>15</v>
      </c>
      <c r="G348" s="25">
        <v>15</v>
      </c>
      <c r="H348" s="25">
        <v>5</v>
      </c>
      <c r="I348" s="24">
        <v>9.2592592592592587E-2</v>
      </c>
      <c r="J348" s="24" t="s">
        <v>1233</v>
      </c>
      <c r="K348" s="24">
        <v>0</v>
      </c>
    </row>
    <row r="349" spans="1:11" x14ac:dyDescent="0.2">
      <c r="A349" s="22" t="s">
        <v>905</v>
      </c>
      <c r="B349" s="25">
        <v>18</v>
      </c>
      <c r="C349" s="25">
        <v>14</v>
      </c>
      <c r="D349" s="25">
        <v>11</v>
      </c>
      <c r="E349" s="25">
        <v>10</v>
      </c>
      <c r="F349" s="25">
        <v>7</v>
      </c>
      <c r="G349" s="25">
        <v>6</v>
      </c>
      <c r="H349" s="25">
        <v>5</v>
      </c>
      <c r="I349" s="24">
        <v>0.27777777777777779</v>
      </c>
      <c r="J349" s="24">
        <v>8.3333333333333329E-2</v>
      </c>
      <c r="K349" s="24">
        <v>1.5</v>
      </c>
    </row>
    <row r="350" spans="1:11" x14ac:dyDescent="0.2">
      <c r="A350" s="22" t="s">
        <v>906</v>
      </c>
      <c r="B350" s="25">
        <v>14</v>
      </c>
      <c r="C350" s="25">
        <v>10</v>
      </c>
      <c r="D350" s="25">
        <v>9</v>
      </c>
      <c r="E350" s="25">
        <v>7</v>
      </c>
      <c r="F350" s="25">
        <v>6</v>
      </c>
      <c r="G350" s="25">
        <v>6</v>
      </c>
      <c r="H350" s="25">
        <v>4</v>
      </c>
      <c r="I350" s="24">
        <v>0.2857142857142857</v>
      </c>
      <c r="J350" s="24" t="s">
        <v>1233</v>
      </c>
      <c r="K350" s="24">
        <v>0</v>
      </c>
    </row>
    <row r="351" spans="1:11" x14ac:dyDescent="0.2">
      <c r="A351" s="22" t="s">
        <v>578</v>
      </c>
      <c r="B351" s="25">
        <v>18</v>
      </c>
      <c r="C351" s="25">
        <v>10</v>
      </c>
      <c r="D351" s="25">
        <v>7</v>
      </c>
      <c r="E351" s="25">
        <v>5</v>
      </c>
      <c r="F351" s="25">
        <v>4</v>
      </c>
      <c r="G351" s="25">
        <v>4</v>
      </c>
      <c r="H351" s="25">
        <v>4</v>
      </c>
      <c r="I351" s="24">
        <v>0.22222222222222221</v>
      </c>
      <c r="J351" s="24">
        <v>0.12</v>
      </c>
      <c r="K351" s="24">
        <v>0.72</v>
      </c>
    </row>
    <row r="352" spans="1:11" x14ac:dyDescent="0.2">
      <c r="A352" s="22" t="s">
        <v>907</v>
      </c>
      <c r="B352" s="25">
        <v>13</v>
      </c>
      <c r="C352" s="25">
        <v>11</v>
      </c>
      <c r="D352" s="25">
        <v>9</v>
      </c>
      <c r="E352" s="25">
        <v>9</v>
      </c>
      <c r="F352" s="25">
        <v>9</v>
      </c>
      <c r="G352" s="25">
        <v>8</v>
      </c>
      <c r="H352" s="25">
        <v>4</v>
      </c>
      <c r="I352" s="24">
        <v>0.30769230769230771</v>
      </c>
      <c r="J352" s="24" t="s">
        <v>1233</v>
      </c>
      <c r="K352" s="24">
        <v>0</v>
      </c>
    </row>
    <row r="353" spans="1:11" hidden="1" x14ac:dyDescent="0.2">
      <c r="A353" s="22" t="s">
        <v>908</v>
      </c>
      <c r="B353" s="25">
        <v>42</v>
      </c>
      <c r="C353" s="25">
        <v>27</v>
      </c>
      <c r="D353" s="25">
        <v>14</v>
      </c>
      <c r="E353" s="25">
        <v>13</v>
      </c>
      <c r="F353" s="25">
        <v>9</v>
      </c>
      <c r="G353" s="25">
        <v>8</v>
      </c>
      <c r="H353" s="25">
        <v>4</v>
      </c>
      <c r="I353" s="24">
        <v>9.5238095238095233E-2</v>
      </c>
      <c r="J353" s="24">
        <v>0.1</v>
      </c>
      <c r="K353" s="24">
        <v>2.1</v>
      </c>
    </row>
    <row r="354" spans="1:11" hidden="1" x14ac:dyDescent="0.2">
      <c r="A354" s="22" t="s">
        <v>909</v>
      </c>
      <c r="B354" s="25">
        <v>41</v>
      </c>
      <c r="C354" s="25">
        <v>25</v>
      </c>
      <c r="D354" s="25">
        <v>19</v>
      </c>
      <c r="E354" s="25">
        <v>15</v>
      </c>
      <c r="F354" s="25">
        <v>12</v>
      </c>
      <c r="G354" s="25">
        <v>11</v>
      </c>
      <c r="H354" s="25">
        <v>4</v>
      </c>
      <c r="I354" s="24">
        <v>9.7560975609756101E-2</v>
      </c>
      <c r="J354" s="24">
        <v>2.9411764705882353E-2</v>
      </c>
      <c r="K354" s="24">
        <v>1.2058823529411764</v>
      </c>
    </row>
    <row r="355" spans="1:11" hidden="1" x14ac:dyDescent="0.2">
      <c r="A355" s="22" t="s">
        <v>910</v>
      </c>
      <c r="B355" s="25">
        <v>64</v>
      </c>
      <c r="C355" s="25">
        <v>40</v>
      </c>
      <c r="D355" s="25">
        <v>24</v>
      </c>
      <c r="E355" s="25">
        <v>23</v>
      </c>
      <c r="F355" s="25">
        <v>18</v>
      </c>
      <c r="G355" s="25">
        <v>17</v>
      </c>
      <c r="H355" s="25">
        <v>4</v>
      </c>
      <c r="I355" s="24">
        <v>6.25E-2</v>
      </c>
      <c r="J355" s="24">
        <v>2.8169014084507043E-2</v>
      </c>
      <c r="K355" s="24">
        <v>0.90140845070422537</v>
      </c>
    </row>
    <row r="356" spans="1:11" x14ac:dyDescent="0.2">
      <c r="A356" s="22" t="s">
        <v>911</v>
      </c>
      <c r="B356" s="25">
        <v>13</v>
      </c>
      <c r="C356" s="25">
        <v>6</v>
      </c>
      <c r="D356" s="25">
        <v>5</v>
      </c>
      <c r="E356" s="25">
        <v>5</v>
      </c>
      <c r="F356" s="25">
        <v>5</v>
      </c>
      <c r="G356" s="25">
        <v>5</v>
      </c>
      <c r="H356" s="25">
        <v>4</v>
      </c>
      <c r="I356" s="24">
        <v>0.30769230769230771</v>
      </c>
      <c r="J356" s="24">
        <v>5.5555555555555552E-2</v>
      </c>
      <c r="K356" s="24">
        <v>0.3611111111111111</v>
      </c>
    </row>
    <row r="357" spans="1:11" hidden="1" x14ac:dyDescent="0.2">
      <c r="A357" s="22" t="s">
        <v>397</v>
      </c>
      <c r="B357" s="25">
        <v>42</v>
      </c>
      <c r="C357" s="25">
        <v>25</v>
      </c>
      <c r="D357" s="25">
        <v>17</v>
      </c>
      <c r="E357" s="25">
        <v>16</v>
      </c>
      <c r="F357" s="25">
        <v>14</v>
      </c>
      <c r="G357" s="25">
        <v>14</v>
      </c>
      <c r="H357" s="25">
        <v>4</v>
      </c>
      <c r="I357" s="24">
        <v>9.5238095238095233E-2</v>
      </c>
      <c r="J357" s="24" t="s">
        <v>1233</v>
      </c>
      <c r="K357" s="24">
        <v>0</v>
      </c>
    </row>
    <row r="358" spans="1:11" hidden="1" x14ac:dyDescent="0.2">
      <c r="A358" s="22" t="s">
        <v>912</v>
      </c>
      <c r="B358" s="25">
        <v>87</v>
      </c>
      <c r="C358" s="25">
        <v>66</v>
      </c>
      <c r="D358" s="25">
        <v>44</v>
      </c>
      <c r="E358" s="25">
        <v>39</v>
      </c>
      <c r="F358" s="25">
        <v>34</v>
      </c>
      <c r="G358" s="25">
        <v>33</v>
      </c>
      <c r="H358" s="25">
        <v>4</v>
      </c>
      <c r="I358" s="24">
        <v>4.5977011494252873E-2</v>
      </c>
      <c r="J358" s="24">
        <v>5.1724137931034482E-2</v>
      </c>
      <c r="K358" s="24">
        <v>1.5</v>
      </c>
    </row>
    <row r="359" spans="1:11" x14ac:dyDescent="0.2">
      <c r="A359" s="22" t="s">
        <v>622</v>
      </c>
      <c r="B359" s="25">
        <v>13</v>
      </c>
      <c r="C359" s="25">
        <v>13</v>
      </c>
      <c r="D359" s="25">
        <v>11</v>
      </c>
      <c r="E359" s="25">
        <v>10</v>
      </c>
      <c r="F359" s="25">
        <v>9</v>
      </c>
      <c r="G359" s="25">
        <v>9</v>
      </c>
      <c r="H359" s="25">
        <v>4</v>
      </c>
      <c r="I359" s="24">
        <v>0.30769230769230771</v>
      </c>
      <c r="J359" s="24">
        <v>0.2</v>
      </c>
      <c r="K359" s="24">
        <v>2.6</v>
      </c>
    </row>
    <row r="360" spans="1:11" hidden="1" x14ac:dyDescent="0.2">
      <c r="A360" s="22" t="s">
        <v>913</v>
      </c>
      <c r="B360" s="25">
        <v>36</v>
      </c>
      <c r="C360" s="25">
        <v>26</v>
      </c>
      <c r="D360" s="25">
        <v>16</v>
      </c>
      <c r="E360" s="25">
        <v>10</v>
      </c>
      <c r="F360" s="25">
        <v>8</v>
      </c>
      <c r="G360" s="25">
        <v>8</v>
      </c>
      <c r="H360" s="25">
        <v>4</v>
      </c>
      <c r="I360" s="24">
        <v>0.1111111111111111</v>
      </c>
      <c r="J360" s="24" t="s">
        <v>1233</v>
      </c>
      <c r="K360" s="24">
        <v>0</v>
      </c>
    </row>
    <row r="361" spans="1:11" x14ac:dyDescent="0.2">
      <c r="A361" s="22" t="s">
        <v>914</v>
      </c>
      <c r="B361" s="25">
        <v>33</v>
      </c>
      <c r="C361" s="25">
        <v>24</v>
      </c>
      <c r="D361" s="25">
        <v>16</v>
      </c>
      <c r="E361" s="25">
        <v>14</v>
      </c>
      <c r="F361" s="25">
        <v>11</v>
      </c>
      <c r="G361" s="25">
        <v>10</v>
      </c>
      <c r="H361" s="25">
        <v>4</v>
      </c>
      <c r="I361" s="24">
        <v>0.12121212121212122</v>
      </c>
      <c r="J361" s="24">
        <v>0.19491525423728814</v>
      </c>
      <c r="K361" s="24">
        <v>0.27966101694915252</v>
      </c>
    </row>
    <row r="362" spans="1:11" hidden="1" x14ac:dyDescent="0.2">
      <c r="A362" s="22" t="s">
        <v>915</v>
      </c>
      <c r="B362" s="25">
        <v>44</v>
      </c>
      <c r="C362" s="25">
        <v>38</v>
      </c>
      <c r="D362" s="25">
        <v>32</v>
      </c>
      <c r="E362" s="25">
        <v>27</v>
      </c>
      <c r="F362" s="25">
        <v>27</v>
      </c>
      <c r="G362" s="25">
        <v>23</v>
      </c>
      <c r="H362" s="25">
        <v>4</v>
      </c>
      <c r="I362" s="24">
        <v>9.0909090909090912E-2</v>
      </c>
      <c r="J362" s="24">
        <v>5.434782608695652E-2</v>
      </c>
      <c r="K362" s="24">
        <v>0.47826086956521741</v>
      </c>
    </row>
    <row r="363" spans="1:11" hidden="1" x14ac:dyDescent="0.2">
      <c r="A363" s="22" t="s">
        <v>916</v>
      </c>
      <c r="B363" s="25">
        <v>47</v>
      </c>
      <c r="C363" s="25">
        <v>35</v>
      </c>
      <c r="D363" s="25">
        <v>26</v>
      </c>
      <c r="E363" s="25">
        <v>24</v>
      </c>
      <c r="F363" s="25">
        <v>16</v>
      </c>
      <c r="G363" s="25">
        <v>14</v>
      </c>
      <c r="H363" s="25">
        <v>4</v>
      </c>
      <c r="I363" s="24">
        <v>8.5106382978723402E-2</v>
      </c>
      <c r="J363" s="24">
        <v>0.125</v>
      </c>
      <c r="K363" s="24">
        <v>1.175</v>
      </c>
    </row>
    <row r="364" spans="1:11" x14ac:dyDescent="0.2">
      <c r="A364" s="22" t="s">
        <v>917</v>
      </c>
      <c r="B364" s="25">
        <v>26</v>
      </c>
      <c r="C364" s="25">
        <v>21</v>
      </c>
      <c r="D364" s="25">
        <v>9</v>
      </c>
      <c r="E364" s="25">
        <v>7</v>
      </c>
      <c r="F364" s="25">
        <v>5</v>
      </c>
      <c r="G364" s="25">
        <v>5</v>
      </c>
      <c r="H364" s="25">
        <v>4</v>
      </c>
      <c r="I364" s="24">
        <v>0.15384615384615385</v>
      </c>
      <c r="J364" s="24">
        <v>6.6666666666666666E-2</v>
      </c>
      <c r="K364" s="24">
        <v>1.7333333333333334</v>
      </c>
    </row>
    <row r="365" spans="1:11" x14ac:dyDescent="0.2">
      <c r="A365" s="22" t="s">
        <v>918</v>
      </c>
      <c r="B365" s="25">
        <v>14</v>
      </c>
      <c r="C365" s="25">
        <v>12</v>
      </c>
      <c r="D365" s="25">
        <v>11</v>
      </c>
      <c r="E365" s="25">
        <v>11</v>
      </c>
      <c r="F365" s="25">
        <v>10</v>
      </c>
      <c r="G365" s="25">
        <v>9</v>
      </c>
      <c r="H365" s="25">
        <v>4</v>
      </c>
      <c r="I365" s="24">
        <v>0.2857142857142857</v>
      </c>
      <c r="J365" s="24" t="s">
        <v>1233</v>
      </c>
      <c r="K365" s="24">
        <v>0</v>
      </c>
    </row>
    <row r="366" spans="1:11" x14ac:dyDescent="0.2">
      <c r="A366" s="22" t="s">
        <v>919</v>
      </c>
      <c r="B366" s="25">
        <v>24</v>
      </c>
      <c r="C366" s="25">
        <v>13</v>
      </c>
      <c r="D366" s="25">
        <v>8</v>
      </c>
      <c r="E366" s="25">
        <v>8</v>
      </c>
      <c r="F366" s="25">
        <v>8</v>
      </c>
      <c r="G366" s="25">
        <v>8</v>
      </c>
      <c r="H366" s="25">
        <v>4</v>
      </c>
      <c r="I366" s="24">
        <v>0.16666666666666666</v>
      </c>
      <c r="J366" s="24">
        <v>0.10182149362477232</v>
      </c>
      <c r="K366" s="24">
        <v>4.3715846994535519E-3</v>
      </c>
    </row>
    <row r="367" spans="1:11" hidden="1" x14ac:dyDescent="0.2">
      <c r="A367" s="22" t="s">
        <v>530</v>
      </c>
      <c r="B367" s="25">
        <v>54</v>
      </c>
      <c r="C367" s="25">
        <v>54</v>
      </c>
      <c r="D367" s="25">
        <v>41</v>
      </c>
      <c r="E367" s="25">
        <v>30</v>
      </c>
      <c r="F367" s="25">
        <v>27</v>
      </c>
      <c r="G367" s="25">
        <v>26</v>
      </c>
      <c r="H367" s="25">
        <v>4</v>
      </c>
      <c r="I367" s="24">
        <v>7.407407407407407E-2</v>
      </c>
      <c r="J367" s="24" t="s">
        <v>1233</v>
      </c>
      <c r="K367" s="24">
        <v>0</v>
      </c>
    </row>
    <row r="368" spans="1:11" x14ac:dyDescent="0.2">
      <c r="A368" s="22" t="s">
        <v>920</v>
      </c>
      <c r="B368" s="25">
        <v>21</v>
      </c>
      <c r="C368" s="25">
        <v>14</v>
      </c>
      <c r="D368" s="25">
        <v>9</v>
      </c>
      <c r="E368" s="25">
        <v>9</v>
      </c>
      <c r="F368" s="25">
        <v>5</v>
      </c>
      <c r="G368" s="25">
        <v>5</v>
      </c>
      <c r="H368" s="25">
        <v>4</v>
      </c>
      <c r="I368" s="24">
        <v>0.19047619047619047</v>
      </c>
      <c r="J368" s="24">
        <v>6.25E-2</v>
      </c>
      <c r="K368" s="24">
        <v>1.3125</v>
      </c>
    </row>
    <row r="369" spans="1:11" hidden="1" x14ac:dyDescent="0.2">
      <c r="A369" s="22" t="s">
        <v>921</v>
      </c>
      <c r="B369" s="25">
        <v>43</v>
      </c>
      <c r="C369" s="25">
        <v>29</v>
      </c>
      <c r="D369" s="25">
        <v>21</v>
      </c>
      <c r="E369" s="25">
        <v>19</v>
      </c>
      <c r="F369" s="25">
        <v>15</v>
      </c>
      <c r="G369" s="25">
        <v>13</v>
      </c>
      <c r="H369" s="25">
        <v>4</v>
      </c>
      <c r="I369" s="24">
        <v>9.3023255813953487E-2</v>
      </c>
      <c r="J369" s="24">
        <v>0.11904761904761904</v>
      </c>
      <c r="K369" s="24">
        <v>1.0238095238095237</v>
      </c>
    </row>
    <row r="370" spans="1:11" hidden="1" x14ac:dyDescent="0.2">
      <c r="A370" s="22" t="s">
        <v>922</v>
      </c>
      <c r="B370" s="25">
        <v>52</v>
      </c>
      <c r="C370" s="25">
        <v>29</v>
      </c>
      <c r="D370" s="25">
        <v>15</v>
      </c>
      <c r="E370" s="25">
        <v>14</v>
      </c>
      <c r="F370" s="25">
        <v>10</v>
      </c>
      <c r="G370" s="25">
        <v>9</v>
      </c>
      <c r="H370" s="25">
        <v>4</v>
      </c>
      <c r="I370" s="24">
        <v>7.6923076923076927E-2</v>
      </c>
      <c r="J370" s="24">
        <v>3.7037037037037035E-2</v>
      </c>
      <c r="K370" s="24">
        <v>1.9259259259259258</v>
      </c>
    </row>
    <row r="371" spans="1:11" hidden="1" x14ac:dyDescent="0.2">
      <c r="A371" s="22" t="s">
        <v>923</v>
      </c>
      <c r="B371" s="25">
        <v>59</v>
      </c>
      <c r="C371" s="25">
        <v>52</v>
      </c>
      <c r="D371" s="25">
        <v>43</v>
      </c>
      <c r="E371" s="25">
        <v>41</v>
      </c>
      <c r="F371" s="25">
        <v>36</v>
      </c>
      <c r="G371" s="25">
        <v>34</v>
      </c>
      <c r="H371" s="25">
        <v>4</v>
      </c>
      <c r="I371" s="24">
        <v>6.7796610169491525E-2</v>
      </c>
      <c r="J371" s="24" t="s">
        <v>1233</v>
      </c>
      <c r="K371" s="24">
        <v>0</v>
      </c>
    </row>
    <row r="372" spans="1:11" hidden="1" x14ac:dyDescent="0.2">
      <c r="A372" s="22" t="s">
        <v>564</v>
      </c>
      <c r="B372" s="25">
        <v>52</v>
      </c>
      <c r="C372" s="25">
        <v>34</v>
      </c>
      <c r="D372" s="25">
        <v>18</v>
      </c>
      <c r="E372" s="25">
        <v>16</v>
      </c>
      <c r="F372" s="25">
        <v>13</v>
      </c>
      <c r="G372" s="25">
        <v>12</v>
      </c>
      <c r="H372" s="25">
        <v>4</v>
      </c>
      <c r="I372" s="24">
        <v>7.6923076923076927E-2</v>
      </c>
      <c r="J372" s="24">
        <v>8.8235294117647065E-2</v>
      </c>
      <c r="K372" s="24">
        <v>0.76470588235294112</v>
      </c>
    </row>
    <row r="373" spans="1:11" x14ac:dyDescent="0.2">
      <c r="A373" s="22" t="s">
        <v>924</v>
      </c>
      <c r="B373" s="25">
        <v>31</v>
      </c>
      <c r="C373" s="25">
        <v>18</v>
      </c>
      <c r="D373" s="25">
        <v>10</v>
      </c>
      <c r="E373" s="25">
        <v>9</v>
      </c>
      <c r="F373" s="25">
        <v>7</v>
      </c>
      <c r="G373" s="25">
        <v>7</v>
      </c>
      <c r="H373" s="25">
        <v>4</v>
      </c>
      <c r="I373" s="24">
        <v>0.12903225806451613</v>
      </c>
      <c r="J373" s="24">
        <v>4.5751633986928102E-2</v>
      </c>
      <c r="K373" s="24">
        <v>0.20261437908496732</v>
      </c>
    </row>
    <row r="374" spans="1:11" hidden="1" x14ac:dyDescent="0.2">
      <c r="A374" s="22" t="s">
        <v>925</v>
      </c>
      <c r="B374" s="25">
        <v>81</v>
      </c>
      <c r="C374" s="25">
        <v>57</v>
      </c>
      <c r="D374" s="25">
        <v>35</v>
      </c>
      <c r="E374" s="25">
        <v>33</v>
      </c>
      <c r="F374" s="25">
        <v>21</v>
      </c>
      <c r="G374" s="25">
        <v>19</v>
      </c>
      <c r="H374" s="25">
        <v>4</v>
      </c>
      <c r="I374" s="24">
        <v>4.9382716049382713E-2</v>
      </c>
      <c r="J374" s="24">
        <v>5.5555555555555552E-2</v>
      </c>
      <c r="K374" s="24">
        <v>2.25</v>
      </c>
    </row>
    <row r="375" spans="1:11" x14ac:dyDescent="0.2">
      <c r="A375" s="22" t="s">
        <v>926</v>
      </c>
      <c r="B375" s="25">
        <v>29</v>
      </c>
      <c r="C375" s="25">
        <v>25</v>
      </c>
      <c r="D375" s="25">
        <v>20</v>
      </c>
      <c r="E375" s="25">
        <v>15</v>
      </c>
      <c r="F375" s="25">
        <v>12</v>
      </c>
      <c r="G375" s="25">
        <v>12</v>
      </c>
      <c r="H375" s="25">
        <v>4</v>
      </c>
      <c r="I375" s="24">
        <v>0.13793103448275862</v>
      </c>
      <c r="J375" s="24" t="s">
        <v>1233</v>
      </c>
      <c r="K375" s="24">
        <v>0</v>
      </c>
    </row>
    <row r="376" spans="1:11" hidden="1" x14ac:dyDescent="0.2">
      <c r="A376" s="22" t="s">
        <v>574</v>
      </c>
      <c r="B376" s="25">
        <v>89</v>
      </c>
      <c r="C376" s="25">
        <v>70</v>
      </c>
      <c r="D376" s="25">
        <v>53</v>
      </c>
      <c r="E376" s="25">
        <v>47</v>
      </c>
      <c r="F376" s="25">
        <v>41</v>
      </c>
      <c r="G376" s="25">
        <v>41</v>
      </c>
      <c r="H376" s="25">
        <v>4</v>
      </c>
      <c r="I376" s="24">
        <v>4.49438202247191E-2</v>
      </c>
      <c r="J376" s="24" t="s">
        <v>1233</v>
      </c>
      <c r="K376" s="24">
        <v>0</v>
      </c>
    </row>
    <row r="377" spans="1:11" x14ac:dyDescent="0.2">
      <c r="A377" s="22" t="s">
        <v>927</v>
      </c>
      <c r="B377" s="25">
        <v>31</v>
      </c>
      <c r="C377" s="25">
        <v>13</v>
      </c>
      <c r="D377" s="25">
        <v>9</v>
      </c>
      <c r="E377" s="25">
        <v>8</v>
      </c>
      <c r="F377" s="25">
        <v>6</v>
      </c>
      <c r="G377" s="25">
        <v>6</v>
      </c>
      <c r="H377" s="25">
        <v>4</v>
      </c>
      <c r="I377" s="24">
        <v>0.12903225806451613</v>
      </c>
      <c r="J377" s="24">
        <v>0.10526315789473684</v>
      </c>
      <c r="K377" s="24">
        <v>0.81578947368421051</v>
      </c>
    </row>
    <row r="378" spans="1:11" hidden="1" x14ac:dyDescent="0.2">
      <c r="A378" s="22" t="s">
        <v>928</v>
      </c>
      <c r="B378" s="25">
        <v>77</v>
      </c>
      <c r="C378" s="25">
        <v>56</v>
      </c>
      <c r="D378" s="25">
        <v>34</v>
      </c>
      <c r="E378" s="25">
        <v>31</v>
      </c>
      <c r="F378" s="25">
        <v>25</v>
      </c>
      <c r="G378" s="25">
        <v>21</v>
      </c>
      <c r="H378" s="25">
        <v>4</v>
      </c>
      <c r="I378" s="24">
        <v>5.1948051948051951E-2</v>
      </c>
      <c r="J378" s="24">
        <v>0.12195121951219512</v>
      </c>
      <c r="K378" s="24">
        <v>1.8780487804878048</v>
      </c>
    </row>
    <row r="379" spans="1:11" hidden="1" x14ac:dyDescent="0.2">
      <c r="A379" s="22" t="s">
        <v>638</v>
      </c>
      <c r="B379" s="25">
        <v>37</v>
      </c>
      <c r="C379" s="25">
        <v>26</v>
      </c>
      <c r="D379" s="25">
        <v>18</v>
      </c>
      <c r="E379" s="25">
        <v>13</v>
      </c>
      <c r="F379" s="25">
        <v>11</v>
      </c>
      <c r="G379" s="25">
        <v>11</v>
      </c>
      <c r="H379" s="25">
        <v>4</v>
      </c>
      <c r="I379" s="24">
        <v>0.10810810810810811</v>
      </c>
      <c r="J379" s="24">
        <v>6.25E-2</v>
      </c>
      <c r="K379" s="24">
        <v>1.15625</v>
      </c>
    </row>
    <row r="380" spans="1:11" hidden="1" x14ac:dyDescent="0.2">
      <c r="A380" s="22" t="s">
        <v>758</v>
      </c>
      <c r="B380" s="25">
        <v>119</v>
      </c>
      <c r="C380" s="25">
        <v>44</v>
      </c>
      <c r="D380" s="25">
        <v>23</v>
      </c>
      <c r="E380" s="25">
        <v>21</v>
      </c>
      <c r="F380" s="25">
        <v>17</v>
      </c>
      <c r="G380" s="25">
        <v>15</v>
      </c>
      <c r="H380" s="25">
        <v>4</v>
      </c>
      <c r="I380" s="24">
        <v>3.3613445378151259E-2</v>
      </c>
      <c r="J380" s="24">
        <v>4.3956043956043959E-2</v>
      </c>
      <c r="K380" s="24">
        <v>1.3076923076923077</v>
      </c>
    </row>
    <row r="381" spans="1:11" hidden="1" x14ac:dyDescent="0.2">
      <c r="A381" s="22" t="s">
        <v>297</v>
      </c>
      <c r="B381" s="25">
        <v>170</v>
      </c>
      <c r="C381" s="25">
        <v>60</v>
      </c>
      <c r="D381" s="25">
        <v>43</v>
      </c>
      <c r="E381" s="25">
        <v>35</v>
      </c>
      <c r="F381" s="25">
        <v>27</v>
      </c>
      <c r="G381" s="25">
        <v>24</v>
      </c>
      <c r="H381" s="25">
        <v>4</v>
      </c>
      <c r="I381" s="24">
        <v>2.3529411764705882E-2</v>
      </c>
      <c r="J381" s="24">
        <v>2.2099447513812154E-2</v>
      </c>
      <c r="K381" s="24">
        <v>0.93922651933701662</v>
      </c>
    </row>
    <row r="382" spans="1:11" x14ac:dyDescent="0.2">
      <c r="A382" s="22" t="s">
        <v>929</v>
      </c>
      <c r="B382" s="25">
        <v>26</v>
      </c>
      <c r="C382" s="25">
        <v>17</v>
      </c>
      <c r="D382" s="25">
        <v>12</v>
      </c>
      <c r="E382" s="25">
        <v>11</v>
      </c>
      <c r="F382" s="25">
        <v>11</v>
      </c>
      <c r="G382" s="25">
        <v>11</v>
      </c>
      <c r="H382" s="25">
        <v>4</v>
      </c>
      <c r="I382" s="24">
        <v>0.15384615384615385</v>
      </c>
      <c r="J382" s="24">
        <v>0.26666666666666666</v>
      </c>
      <c r="K382" s="24">
        <v>1.7333333333333334</v>
      </c>
    </row>
    <row r="383" spans="1:11" x14ac:dyDescent="0.2">
      <c r="A383" s="22" t="s">
        <v>930</v>
      </c>
      <c r="B383" s="25">
        <v>27</v>
      </c>
      <c r="C383" s="25">
        <v>23</v>
      </c>
      <c r="D383" s="25">
        <v>15</v>
      </c>
      <c r="E383" s="25">
        <v>14</v>
      </c>
      <c r="F383" s="25">
        <v>11</v>
      </c>
      <c r="G383" s="25">
        <v>11</v>
      </c>
      <c r="H383" s="25">
        <v>4</v>
      </c>
      <c r="I383" s="24">
        <v>0.14814814814814814</v>
      </c>
      <c r="J383" s="24">
        <v>0.12328767123287671</v>
      </c>
      <c r="K383" s="24">
        <v>0.18493150684931506</v>
      </c>
    </row>
    <row r="384" spans="1:11" x14ac:dyDescent="0.2">
      <c r="A384" s="22" t="s">
        <v>498</v>
      </c>
      <c r="B384" s="25">
        <v>13</v>
      </c>
      <c r="C384" s="25">
        <v>11</v>
      </c>
      <c r="D384" s="25">
        <v>7</v>
      </c>
      <c r="E384" s="25">
        <v>6</v>
      </c>
      <c r="F384" s="25">
        <v>4</v>
      </c>
      <c r="G384" s="25">
        <v>4</v>
      </c>
      <c r="H384" s="25">
        <v>4</v>
      </c>
      <c r="I384" s="24">
        <v>0.30769230769230771</v>
      </c>
      <c r="J384" s="24">
        <v>0.16666666666666666</v>
      </c>
      <c r="K384" s="24">
        <v>0.10833333333333334</v>
      </c>
    </row>
    <row r="385" spans="1:11" hidden="1" x14ac:dyDescent="0.2">
      <c r="A385" s="22" t="s">
        <v>301</v>
      </c>
      <c r="B385" s="25">
        <v>177</v>
      </c>
      <c r="C385" s="25">
        <v>86</v>
      </c>
      <c r="D385" s="25">
        <v>48</v>
      </c>
      <c r="E385" s="25">
        <v>39</v>
      </c>
      <c r="F385" s="25">
        <v>17</v>
      </c>
      <c r="G385" s="25">
        <v>15</v>
      </c>
      <c r="H385" s="25">
        <v>4</v>
      </c>
      <c r="I385" s="24">
        <v>2.2598870056497175E-2</v>
      </c>
      <c r="J385" s="24">
        <v>7.0422535211267609E-2</v>
      </c>
      <c r="K385" s="24">
        <v>2.492957746478873</v>
      </c>
    </row>
    <row r="386" spans="1:11" hidden="1" x14ac:dyDescent="0.2">
      <c r="A386" s="22" t="s">
        <v>931</v>
      </c>
      <c r="B386" s="25">
        <v>48</v>
      </c>
      <c r="C386" s="25">
        <v>20</v>
      </c>
      <c r="D386" s="25">
        <v>13</v>
      </c>
      <c r="E386" s="25">
        <v>10</v>
      </c>
      <c r="F386" s="25">
        <v>9</v>
      </c>
      <c r="G386" s="25">
        <v>9</v>
      </c>
      <c r="H386" s="25">
        <v>4</v>
      </c>
      <c r="I386" s="24">
        <v>8.3333333333333329E-2</v>
      </c>
      <c r="J386" s="24">
        <v>0.14285714285714285</v>
      </c>
      <c r="K386" s="24">
        <v>0.8571428571428571</v>
      </c>
    </row>
    <row r="387" spans="1:11" hidden="1" x14ac:dyDescent="0.2">
      <c r="A387" s="22" t="s">
        <v>740</v>
      </c>
      <c r="B387" s="25">
        <v>75</v>
      </c>
      <c r="C387" s="25">
        <v>38</v>
      </c>
      <c r="D387" s="25">
        <v>32</v>
      </c>
      <c r="E387" s="25">
        <v>25</v>
      </c>
      <c r="F387" s="25">
        <v>17</v>
      </c>
      <c r="G387" s="25">
        <v>17</v>
      </c>
      <c r="H387" s="25">
        <v>4</v>
      </c>
      <c r="I387" s="24">
        <v>5.3333333333333337E-2</v>
      </c>
      <c r="J387" s="24">
        <v>5.5555555555555552E-2</v>
      </c>
      <c r="K387" s="24">
        <v>1.3888888888888888</v>
      </c>
    </row>
    <row r="388" spans="1:11" hidden="1" x14ac:dyDescent="0.2">
      <c r="A388" s="22" t="s">
        <v>932</v>
      </c>
      <c r="B388" s="25">
        <v>42</v>
      </c>
      <c r="C388" s="25">
        <v>21</v>
      </c>
      <c r="D388" s="25">
        <v>11</v>
      </c>
      <c r="E388" s="25">
        <v>10</v>
      </c>
      <c r="F388" s="25">
        <v>7</v>
      </c>
      <c r="G388" s="25">
        <v>7</v>
      </c>
      <c r="H388" s="25">
        <v>4</v>
      </c>
      <c r="I388" s="24">
        <v>9.5238095238095233E-2</v>
      </c>
      <c r="J388" s="24">
        <v>0.11764705882352941</v>
      </c>
      <c r="K388" s="24">
        <v>1.2352941176470589</v>
      </c>
    </row>
    <row r="389" spans="1:11" x14ac:dyDescent="0.2">
      <c r="A389" s="22" t="s">
        <v>933</v>
      </c>
      <c r="B389" s="25">
        <v>22</v>
      </c>
      <c r="C389" s="25">
        <v>16</v>
      </c>
      <c r="D389" s="25">
        <v>10</v>
      </c>
      <c r="E389" s="25">
        <v>8</v>
      </c>
      <c r="F389" s="25">
        <v>6</v>
      </c>
      <c r="G389" s="25">
        <v>6</v>
      </c>
      <c r="H389" s="25">
        <v>4</v>
      </c>
      <c r="I389" s="24">
        <v>0.18181818181818182</v>
      </c>
      <c r="J389" s="24">
        <v>7.6923076923076927E-2</v>
      </c>
      <c r="K389" s="24">
        <v>1.6923076923076923</v>
      </c>
    </row>
    <row r="390" spans="1:11" x14ac:dyDescent="0.2">
      <c r="A390" s="22" t="s">
        <v>934</v>
      </c>
      <c r="B390" s="25">
        <v>33</v>
      </c>
      <c r="C390" s="25">
        <v>14</v>
      </c>
      <c r="D390" s="25">
        <v>7</v>
      </c>
      <c r="E390" s="25">
        <v>5</v>
      </c>
      <c r="F390" s="25">
        <v>5</v>
      </c>
      <c r="G390" s="25">
        <v>5</v>
      </c>
      <c r="H390" s="25">
        <v>4</v>
      </c>
      <c r="I390" s="24">
        <v>0.12121212121212122</v>
      </c>
      <c r="J390" s="24">
        <v>9.815950920245399E-2</v>
      </c>
      <c r="K390" s="24">
        <v>0.20245398773006135</v>
      </c>
    </row>
    <row r="391" spans="1:11" hidden="1" x14ac:dyDescent="0.2">
      <c r="A391" s="22" t="s">
        <v>935</v>
      </c>
      <c r="B391" s="25">
        <v>38</v>
      </c>
      <c r="C391" s="25">
        <v>27</v>
      </c>
      <c r="D391" s="25">
        <v>17</v>
      </c>
      <c r="E391" s="25">
        <v>13</v>
      </c>
      <c r="F391" s="25">
        <v>8</v>
      </c>
      <c r="G391" s="25">
        <v>8</v>
      </c>
      <c r="H391" s="25">
        <v>4</v>
      </c>
      <c r="I391" s="24">
        <v>0.10526315789473684</v>
      </c>
      <c r="J391" s="24">
        <v>0.11627906976744186</v>
      </c>
      <c r="K391" s="24">
        <v>0.88372093023255816</v>
      </c>
    </row>
    <row r="392" spans="1:11" hidden="1" x14ac:dyDescent="0.2">
      <c r="A392" s="22" t="s">
        <v>936</v>
      </c>
      <c r="B392" s="25">
        <v>69</v>
      </c>
      <c r="C392" s="25">
        <v>42</v>
      </c>
      <c r="D392" s="25">
        <v>31</v>
      </c>
      <c r="E392" s="25">
        <v>30</v>
      </c>
      <c r="F392" s="25">
        <v>22</v>
      </c>
      <c r="G392" s="25">
        <v>20</v>
      </c>
      <c r="H392" s="25">
        <v>4</v>
      </c>
      <c r="I392" s="24">
        <v>5.7971014492753624E-2</v>
      </c>
      <c r="J392" s="24">
        <v>0.10344827586206896</v>
      </c>
      <c r="K392" s="24">
        <v>0.7931034482758621</v>
      </c>
    </row>
    <row r="393" spans="1:11" x14ac:dyDescent="0.2">
      <c r="A393" s="22" t="s">
        <v>937</v>
      </c>
      <c r="B393" s="25">
        <v>22</v>
      </c>
      <c r="C393" s="25">
        <v>13</v>
      </c>
      <c r="D393" s="25">
        <v>8</v>
      </c>
      <c r="E393" s="25">
        <v>8</v>
      </c>
      <c r="F393" s="25">
        <v>5</v>
      </c>
      <c r="G393" s="25">
        <v>5</v>
      </c>
      <c r="H393" s="25">
        <v>3</v>
      </c>
      <c r="I393" s="24">
        <v>0.13636363636363635</v>
      </c>
      <c r="J393" s="24">
        <v>9.0909090909090912E-2</v>
      </c>
      <c r="K393" s="24">
        <v>2</v>
      </c>
    </row>
    <row r="394" spans="1:11" x14ac:dyDescent="0.2">
      <c r="A394" s="22" t="s">
        <v>938</v>
      </c>
      <c r="B394" s="25">
        <v>8</v>
      </c>
      <c r="C394" s="25">
        <v>6</v>
      </c>
      <c r="D394" s="25">
        <v>6</v>
      </c>
      <c r="E394" s="25">
        <v>6</v>
      </c>
      <c r="F394" s="25">
        <v>5</v>
      </c>
      <c r="G394" s="25">
        <v>5</v>
      </c>
      <c r="H394" s="25">
        <v>3</v>
      </c>
      <c r="I394" s="24">
        <v>0.375</v>
      </c>
      <c r="J394" s="24">
        <v>0.13829787234042554</v>
      </c>
      <c r="K394" s="24">
        <v>2.8368794326241134E-2</v>
      </c>
    </row>
    <row r="395" spans="1:11" x14ac:dyDescent="0.2">
      <c r="A395" s="22" t="s">
        <v>939</v>
      </c>
      <c r="B395" s="25">
        <v>18</v>
      </c>
      <c r="C395" s="25">
        <v>15</v>
      </c>
      <c r="D395" s="25">
        <v>10</v>
      </c>
      <c r="E395" s="25">
        <v>10</v>
      </c>
      <c r="F395" s="25">
        <v>7</v>
      </c>
      <c r="G395" s="25">
        <v>6</v>
      </c>
      <c r="H395" s="25">
        <v>3</v>
      </c>
      <c r="I395" s="24">
        <v>0.16666666666666666</v>
      </c>
      <c r="J395" s="24" t="s">
        <v>1233</v>
      </c>
      <c r="K395" s="24">
        <v>0</v>
      </c>
    </row>
    <row r="396" spans="1:11" x14ac:dyDescent="0.2">
      <c r="A396" s="22" t="s">
        <v>940</v>
      </c>
      <c r="B396" s="25">
        <v>20</v>
      </c>
      <c r="C396" s="25">
        <v>15</v>
      </c>
      <c r="D396" s="25">
        <v>12</v>
      </c>
      <c r="E396" s="25">
        <v>12</v>
      </c>
      <c r="F396" s="25">
        <v>8</v>
      </c>
      <c r="G396" s="25">
        <v>8</v>
      </c>
      <c r="H396" s="25">
        <v>3</v>
      </c>
      <c r="I396" s="24">
        <v>0.15</v>
      </c>
      <c r="J396" s="24">
        <v>8.3333333333333329E-2</v>
      </c>
      <c r="K396" s="24">
        <v>1.6666666666666667</v>
      </c>
    </row>
    <row r="397" spans="1:11" x14ac:dyDescent="0.2">
      <c r="A397" s="22" t="s">
        <v>941</v>
      </c>
      <c r="B397" s="25">
        <v>25</v>
      </c>
      <c r="C397" s="25">
        <v>19</v>
      </c>
      <c r="D397" s="25">
        <v>10</v>
      </c>
      <c r="E397" s="25">
        <v>9</v>
      </c>
      <c r="F397" s="25">
        <v>7</v>
      </c>
      <c r="G397" s="25">
        <v>6</v>
      </c>
      <c r="H397" s="25">
        <v>3</v>
      </c>
      <c r="I397" s="24">
        <v>0.12</v>
      </c>
      <c r="J397" s="24" t="s">
        <v>1233</v>
      </c>
      <c r="K397" s="24">
        <v>0</v>
      </c>
    </row>
    <row r="398" spans="1:11" x14ac:dyDescent="0.2">
      <c r="A398" s="22" t="s">
        <v>942</v>
      </c>
      <c r="B398" s="25">
        <v>23</v>
      </c>
      <c r="C398" s="25">
        <v>10</v>
      </c>
      <c r="D398" s="25">
        <v>7</v>
      </c>
      <c r="E398" s="25">
        <v>6</v>
      </c>
      <c r="F398" s="25">
        <v>5</v>
      </c>
      <c r="G398" s="25">
        <v>4</v>
      </c>
      <c r="H398" s="25">
        <v>3</v>
      </c>
      <c r="I398" s="24">
        <v>0.13043478260869565</v>
      </c>
      <c r="J398" s="24" t="s">
        <v>1233</v>
      </c>
      <c r="K398" s="24">
        <v>0</v>
      </c>
    </row>
    <row r="399" spans="1:11" hidden="1" x14ac:dyDescent="0.2">
      <c r="A399" s="22" t="s">
        <v>730</v>
      </c>
      <c r="B399" s="25">
        <v>115</v>
      </c>
      <c r="C399" s="25">
        <v>50</v>
      </c>
      <c r="D399" s="25">
        <v>28</v>
      </c>
      <c r="E399" s="25">
        <v>25</v>
      </c>
      <c r="F399" s="25">
        <v>19</v>
      </c>
      <c r="G399" s="25">
        <v>17</v>
      </c>
      <c r="H399" s="25">
        <v>3</v>
      </c>
      <c r="I399" s="24">
        <v>2.6086956521739129E-2</v>
      </c>
      <c r="J399" s="24" t="s">
        <v>1233</v>
      </c>
      <c r="K399" s="24">
        <v>0</v>
      </c>
    </row>
    <row r="400" spans="1:11" hidden="1" x14ac:dyDescent="0.2">
      <c r="A400" s="22" t="s">
        <v>943</v>
      </c>
      <c r="B400" s="25">
        <v>54</v>
      </c>
      <c r="C400" s="25">
        <v>29</v>
      </c>
      <c r="D400" s="25">
        <v>22</v>
      </c>
      <c r="E400" s="25">
        <v>18</v>
      </c>
      <c r="F400" s="25">
        <v>14</v>
      </c>
      <c r="G400" s="25">
        <v>14</v>
      </c>
      <c r="H400" s="25">
        <v>3</v>
      </c>
      <c r="I400" s="24">
        <v>5.5555555555555552E-2</v>
      </c>
      <c r="J400" s="24" t="s">
        <v>1233</v>
      </c>
      <c r="K400" s="24">
        <v>0</v>
      </c>
    </row>
    <row r="401" spans="1:11" hidden="1" x14ac:dyDescent="0.2">
      <c r="A401" s="22" t="s">
        <v>369</v>
      </c>
      <c r="B401" s="25">
        <v>26</v>
      </c>
      <c r="C401" s="25">
        <v>17</v>
      </c>
      <c r="D401" s="25">
        <v>12</v>
      </c>
      <c r="E401" s="25">
        <v>12</v>
      </c>
      <c r="F401" s="25">
        <v>12</v>
      </c>
      <c r="G401" s="25">
        <v>12</v>
      </c>
      <c r="H401" s="25">
        <v>3</v>
      </c>
      <c r="I401" s="24">
        <v>0.11538461538461539</v>
      </c>
      <c r="J401" s="24" t="s">
        <v>1233</v>
      </c>
      <c r="K401" s="24">
        <v>0</v>
      </c>
    </row>
    <row r="402" spans="1:11" hidden="1" x14ac:dyDescent="0.2">
      <c r="A402" s="22" t="s">
        <v>944</v>
      </c>
      <c r="B402" s="25">
        <v>34</v>
      </c>
      <c r="C402" s="25">
        <v>24</v>
      </c>
      <c r="D402" s="25">
        <v>17</v>
      </c>
      <c r="E402" s="25">
        <v>16</v>
      </c>
      <c r="F402" s="25">
        <v>14</v>
      </c>
      <c r="G402" s="25">
        <v>13</v>
      </c>
      <c r="H402" s="25">
        <v>3</v>
      </c>
      <c r="I402" s="24">
        <v>8.8235294117647065E-2</v>
      </c>
      <c r="J402" s="24" t="s">
        <v>1233</v>
      </c>
      <c r="K402" s="24">
        <v>0</v>
      </c>
    </row>
    <row r="403" spans="1:11" hidden="1" x14ac:dyDescent="0.2">
      <c r="A403" s="22" t="s">
        <v>945</v>
      </c>
      <c r="B403" s="25">
        <v>77</v>
      </c>
      <c r="C403" s="25">
        <v>47</v>
      </c>
      <c r="D403" s="25">
        <v>25</v>
      </c>
      <c r="E403" s="25">
        <v>18</v>
      </c>
      <c r="F403" s="25">
        <v>15</v>
      </c>
      <c r="G403" s="25">
        <v>14</v>
      </c>
      <c r="H403" s="25">
        <v>3</v>
      </c>
      <c r="I403" s="24">
        <v>3.896103896103896E-2</v>
      </c>
      <c r="J403" s="24">
        <v>0.1038961038961039</v>
      </c>
      <c r="K403" s="24">
        <v>1</v>
      </c>
    </row>
    <row r="404" spans="1:11" hidden="1" x14ac:dyDescent="0.2">
      <c r="A404" s="22" t="s">
        <v>371</v>
      </c>
      <c r="B404" s="25">
        <v>65</v>
      </c>
      <c r="C404" s="25">
        <v>38</v>
      </c>
      <c r="D404" s="25">
        <v>25</v>
      </c>
      <c r="E404" s="25">
        <v>25</v>
      </c>
      <c r="F404" s="25">
        <v>20</v>
      </c>
      <c r="G404" s="25">
        <v>19</v>
      </c>
      <c r="H404" s="25">
        <v>3</v>
      </c>
      <c r="I404" s="24">
        <v>4.6153846153846156E-2</v>
      </c>
      <c r="J404" s="24">
        <v>9.4339622641509441E-2</v>
      </c>
      <c r="K404" s="24">
        <v>1.2264150943396226</v>
      </c>
    </row>
    <row r="405" spans="1:11" x14ac:dyDescent="0.2">
      <c r="A405" s="22" t="s">
        <v>946</v>
      </c>
      <c r="B405" s="25">
        <v>25</v>
      </c>
      <c r="C405" s="25">
        <v>11</v>
      </c>
      <c r="D405" s="25">
        <v>6</v>
      </c>
      <c r="E405" s="25">
        <v>6</v>
      </c>
      <c r="F405" s="25">
        <v>6</v>
      </c>
      <c r="G405" s="25">
        <v>5</v>
      </c>
      <c r="H405" s="25">
        <v>3</v>
      </c>
      <c r="I405" s="24">
        <v>0.12</v>
      </c>
      <c r="J405" s="24" t="s">
        <v>1233</v>
      </c>
      <c r="K405" s="24">
        <v>0</v>
      </c>
    </row>
    <row r="406" spans="1:11" x14ac:dyDescent="0.2">
      <c r="A406" s="22" t="s">
        <v>947</v>
      </c>
      <c r="B406" s="25">
        <v>11</v>
      </c>
      <c r="C406" s="25">
        <v>8</v>
      </c>
      <c r="D406" s="25">
        <v>4</v>
      </c>
      <c r="E406" s="25">
        <v>4</v>
      </c>
      <c r="F406" s="25">
        <v>4</v>
      </c>
      <c r="G406" s="25">
        <v>4</v>
      </c>
      <c r="H406" s="25">
        <v>3</v>
      </c>
      <c r="I406" s="24">
        <v>0.27272727272727271</v>
      </c>
      <c r="J406" s="24" t="s">
        <v>1233</v>
      </c>
      <c r="K406" s="24">
        <v>0</v>
      </c>
    </row>
    <row r="407" spans="1:11" hidden="1" x14ac:dyDescent="0.2">
      <c r="A407" s="22" t="s">
        <v>948</v>
      </c>
      <c r="B407" s="25">
        <v>34</v>
      </c>
      <c r="C407" s="25">
        <v>23</v>
      </c>
      <c r="D407" s="25">
        <v>19</v>
      </c>
      <c r="E407" s="25">
        <v>14</v>
      </c>
      <c r="F407" s="25">
        <v>11</v>
      </c>
      <c r="G407" s="25">
        <v>11</v>
      </c>
      <c r="H407" s="25">
        <v>3</v>
      </c>
      <c r="I407" s="24">
        <v>8.8235294117647065E-2</v>
      </c>
      <c r="J407" s="24">
        <v>0.25</v>
      </c>
      <c r="K407" s="24">
        <v>8.5</v>
      </c>
    </row>
    <row r="408" spans="1:11" x14ac:dyDescent="0.2">
      <c r="A408" s="22" t="s">
        <v>949</v>
      </c>
      <c r="B408" s="25">
        <v>15</v>
      </c>
      <c r="C408" s="25">
        <v>9</v>
      </c>
      <c r="D408" s="25">
        <v>9</v>
      </c>
      <c r="E408" s="25">
        <v>7</v>
      </c>
      <c r="F408" s="25">
        <v>6</v>
      </c>
      <c r="G408" s="25">
        <v>6</v>
      </c>
      <c r="H408" s="25">
        <v>3</v>
      </c>
      <c r="I408" s="24">
        <v>0.2</v>
      </c>
      <c r="J408" s="24" t="s">
        <v>1233</v>
      </c>
      <c r="K408" s="24">
        <v>0</v>
      </c>
    </row>
    <row r="409" spans="1:11" x14ac:dyDescent="0.2">
      <c r="A409" s="22" t="s">
        <v>950</v>
      </c>
      <c r="B409" s="25">
        <v>12</v>
      </c>
      <c r="C409" s="25">
        <v>11</v>
      </c>
      <c r="D409" s="25">
        <v>7</v>
      </c>
      <c r="E409" s="25">
        <v>7</v>
      </c>
      <c r="F409" s="25">
        <v>5</v>
      </c>
      <c r="G409" s="25">
        <v>5</v>
      </c>
      <c r="H409" s="25">
        <v>3</v>
      </c>
      <c r="I409" s="24">
        <v>0.25</v>
      </c>
      <c r="J409" s="24" t="s">
        <v>1233</v>
      </c>
      <c r="K409" s="24">
        <v>0</v>
      </c>
    </row>
    <row r="410" spans="1:11" x14ac:dyDescent="0.2">
      <c r="A410" s="22" t="s">
        <v>951</v>
      </c>
      <c r="B410" s="25">
        <v>9</v>
      </c>
      <c r="C410" s="25">
        <v>6</v>
      </c>
      <c r="D410" s="25">
        <v>3</v>
      </c>
      <c r="E410" s="25">
        <v>3</v>
      </c>
      <c r="F410" s="25">
        <v>3</v>
      </c>
      <c r="G410" s="25">
        <v>3</v>
      </c>
      <c r="H410" s="25">
        <v>3</v>
      </c>
      <c r="I410" s="24">
        <v>0.33333333333333331</v>
      </c>
      <c r="J410" s="24" t="s">
        <v>1233</v>
      </c>
      <c r="K410" s="24">
        <v>0</v>
      </c>
    </row>
    <row r="411" spans="1:11" x14ac:dyDescent="0.2">
      <c r="A411" s="22" t="s">
        <v>952</v>
      </c>
      <c r="B411" s="25">
        <v>9</v>
      </c>
      <c r="C411" s="25">
        <v>5</v>
      </c>
      <c r="D411" s="25">
        <v>4</v>
      </c>
      <c r="E411" s="25">
        <v>4</v>
      </c>
      <c r="F411" s="25">
        <v>3</v>
      </c>
      <c r="G411" s="25">
        <v>3</v>
      </c>
      <c r="H411" s="25">
        <v>3</v>
      </c>
      <c r="I411" s="24">
        <v>0.33333333333333331</v>
      </c>
      <c r="J411" s="24">
        <v>6.6666666666666666E-2</v>
      </c>
      <c r="K411" s="24">
        <v>0.6</v>
      </c>
    </row>
    <row r="412" spans="1:11" x14ac:dyDescent="0.2">
      <c r="A412" s="22" t="s">
        <v>953</v>
      </c>
      <c r="B412" s="25">
        <v>10</v>
      </c>
      <c r="C412" s="25">
        <v>7</v>
      </c>
      <c r="D412" s="25">
        <v>6</v>
      </c>
      <c r="E412" s="25">
        <v>5</v>
      </c>
      <c r="F412" s="25">
        <v>3</v>
      </c>
      <c r="G412" s="25">
        <v>3</v>
      </c>
      <c r="H412" s="25">
        <v>3</v>
      </c>
      <c r="I412" s="24">
        <v>0.3</v>
      </c>
      <c r="J412" s="24">
        <v>7.1428571428571425E-2</v>
      </c>
      <c r="K412" s="24">
        <v>0.7142857142857143</v>
      </c>
    </row>
    <row r="413" spans="1:11" x14ac:dyDescent="0.2">
      <c r="A413" s="22" t="s">
        <v>954</v>
      </c>
      <c r="B413" s="25">
        <v>7</v>
      </c>
      <c r="C413" s="25">
        <v>7</v>
      </c>
      <c r="D413" s="25">
        <v>7</v>
      </c>
      <c r="E413" s="25">
        <v>4</v>
      </c>
      <c r="F413" s="25">
        <v>4</v>
      </c>
      <c r="G413" s="25">
        <v>3</v>
      </c>
      <c r="H413" s="25">
        <v>3</v>
      </c>
      <c r="I413" s="24">
        <v>0.42857142857142855</v>
      </c>
      <c r="J413" s="24" t="s">
        <v>1233</v>
      </c>
      <c r="K413" s="24">
        <v>0</v>
      </c>
    </row>
    <row r="414" spans="1:11" x14ac:dyDescent="0.2">
      <c r="A414" s="22" t="s">
        <v>955</v>
      </c>
      <c r="B414" s="25">
        <v>22</v>
      </c>
      <c r="C414" s="25">
        <v>10</v>
      </c>
      <c r="D414" s="25">
        <v>6</v>
      </c>
      <c r="E414" s="25">
        <v>6</v>
      </c>
      <c r="F414" s="25">
        <v>6</v>
      </c>
      <c r="G414" s="25">
        <v>6</v>
      </c>
      <c r="H414" s="25">
        <v>3</v>
      </c>
      <c r="I414" s="24">
        <v>0.13636363636363635</v>
      </c>
      <c r="J414" s="24" t="s">
        <v>1233</v>
      </c>
      <c r="K414" s="24">
        <v>0</v>
      </c>
    </row>
    <row r="415" spans="1:11" x14ac:dyDescent="0.2">
      <c r="A415" s="22" t="s">
        <v>956</v>
      </c>
      <c r="B415" s="25">
        <v>17</v>
      </c>
      <c r="C415" s="25">
        <v>13</v>
      </c>
      <c r="D415" s="25">
        <v>10</v>
      </c>
      <c r="E415" s="25">
        <v>7</v>
      </c>
      <c r="F415" s="25">
        <v>5</v>
      </c>
      <c r="G415" s="25">
        <v>5</v>
      </c>
      <c r="H415" s="25">
        <v>3</v>
      </c>
      <c r="I415" s="24">
        <v>0.17647058823529413</v>
      </c>
      <c r="J415" s="24">
        <v>0.30769230769230771</v>
      </c>
      <c r="K415" s="24">
        <v>1.3076923076923077</v>
      </c>
    </row>
    <row r="416" spans="1:11" x14ac:dyDescent="0.2">
      <c r="A416" s="22" t="s">
        <v>957</v>
      </c>
      <c r="B416" s="25">
        <v>10</v>
      </c>
      <c r="C416" s="25">
        <v>3</v>
      </c>
      <c r="D416" s="25">
        <v>3</v>
      </c>
      <c r="E416" s="25">
        <v>3</v>
      </c>
      <c r="F416" s="25">
        <v>3</v>
      </c>
      <c r="G416" s="25">
        <v>3</v>
      </c>
      <c r="H416" s="25">
        <v>3</v>
      </c>
      <c r="I416" s="24">
        <v>0.3</v>
      </c>
      <c r="J416" s="24">
        <v>0.125</v>
      </c>
      <c r="K416" s="24">
        <v>0.625</v>
      </c>
    </row>
    <row r="417" spans="1:11" hidden="1" x14ac:dyDescent="0.2">
      <c r="A417" s="22" t="s">
        <v>958</v>
      </c>
      <c r="B417" s="25">
        <v>38</v>
      </c>
      <c r="C417" s="25">
        <v>21</v>
      </c>
      <c r="D417" s="25">
        <v>15</v>
      </c>
      <c r="E417" s="25">
        <v>12</v>
      </c>
      <c r="F417" s="25">
        <v>8</v>
      </c>
      <c r="G417" s="25">
        <v>8</v>
      </c>
      <c r="H417" s="25">
        <v>3</v>
      </c>
      <c r="I417" s="24">
        <v>7.8947368421052627E-2</v>
      </c>
      <c r="J417" s="24" t="s">
        <v>1233</v>
      </c>
      <c r="K417" s="24">
        <v>0</v>
      </c>
    </row>
    <row r="418" spans="1:11" x14ac:dyDescent="0.2">
      <c r="A418" s="22" t="s">
        <v>590</v>
      </c>
      <c r="B418" s="25">
        <v>13</v>
      </c>
      <c r="C418" s="25">
        <v>11</v>
      </c>
      <c r="D418" s="25">
        <v>8</v>
      </c>
      <c r="E418" s="25">
        <v>6</v>
      </c>
      <c r="F418" s="25">
        <v>5</v>
      </c>
      <c r="G418" s="25">
        <v>5</v>
      </c>
      <c r="H418" s="25">
        <v>3</v>
      </c>
      <c r="I418" s="24">
        <v>0.23076923076923078</v>
      </c>
      <c r="J418" s="24">
        <v>0.2</v>
      </c>
      <c r="K418" s="24">
        <v>0.8666666666666667</v>
      </c>
    </row>
    <row r="419" spans="1:11" x14ac:dyDescent="0.2">
      <c r="A419" s="22" t="s">
        <v>959</v>
      </c>
      <c r="B419" s="25">
        <v>18</v>
      </c>
      <c r="C419" s="25">
        <v>11</v>
      </c>
      <c r="D419" s="25">
        <v>9</v>
      </c>
      <c r="E419" s="25">
        <v>7</v>
      </c>
      <c r="F419" s="25">
        <v>7</v>
      </c>
      <c r="G419" s="25">
        <v>7</v>
      </c>
      <c r="H419" s="25">
        <v>3</v>
      </c>
      <c r="I419" s="24">
        <v>0.16666666666666666</v>
      </c>
      <c r="J419" s="24">
        <v>9.0909090909090912E-2</v>
      </c>
      <c r="K419" s="24">
        <v>1.6363636363636365</v>
      </c>
    </row>
    <row r="420" spans="1:11" hidden="1" x14ac:dyDescent="0.2">
      <c r="A420" s="22" t="s">
        <v>960</v>
      </c>
      <c r="B420" s="25">
        <v>33</v>
      </c>
      <c r="C420" s="25">
        <v>20</v>
      </c>
      <c r="D420" s="25">
        <v>10</v>
      </c>
      <c r="E420" s="25">
        <v>8</v>
      </c>
      <c r="F420" s="25">
        <v>6</v>
      </c>
      <c r="G420" s="25">
        <v>5</v>
      </c>
      <c r="H420" s="25">
        <v>3</v>
      </c>
      <c r="I420" s="24">
        <v>9.0909090909090912E-2</v>
      </c>
      <c r="J420" s="24" t="s">
        <v>1233</v>
      </c>
      <c r="K420" s="24">
        <v>0</v>
      </c>
    </row>
    <row r="421" spans="1:11" x14ac:dyDescent="0.2">
      <c r="A421" s="22" t="s">
        <v>961</v>
      </c>
      <c r="B421" s="25">
        <v>17</v>
      </c>
      <c r="C421" s="25">
        <v>11</v>
      </c>
      <c r="D421" s="25">
        <v>9</v>
      </c>
      <c r="E421" s="25">
        <v>7</v>
      </c>
      <c r="F421" s="25">
        <v>6</v>
      </c>
      <c r="G421" s="25">
        <v>5</v>
      </c>
      <c r="H421" s="25">
        <v>3</v>
      </c>
      <c r="I421" s="24">
        <v>0.17647058823529413</v>
      </c>
      <c r="J421" s="24" t="s">
        <v>1233</v>
      </c>
      <c r="K421" s="24">
        <v>0</v>
      </c>
    </row>
    <row r="422" spans="1:11" x14ac:dyDescent="0.2">
      <c r="A422" s="22" t="s">
        <v>962</v>
      </c>
      <c r="B422" s="25">
        <v>12</v>
      </c>
      <c r="C422" s="25">
        <v>9</v>
      </c>
      <c r="D422" s="25">
        <v>8</v>
      </c>
      <c r="E422" s="25">
        <v>6</v>
      </c>
      <c r="F422" s="25">
        <v>5</v>
      </c>
      <c r="G422" s="25">
        <v>5</v>
      </c>
      <c r="H422" s="25">
        <v>3</v>
      </c>
      <c r="I422" s="24">
        <v>0.25</v>
      </c>
      <c r="J422" s="24" t="s">
        <v>1233</v>
      </c>
      <c r="K422" s="24">
        <v>0</v>
      </c>
    </row>
    <row r="423" spans="1:11" hidden="1" x14ac:dyDescent="0.2">
      <c r="A423" s="22" t="s">
        <v>963</v>
      </c>
      <c r="B423" s="25">
        <v>44</v>
      </c>
      <c r="C423" s="25">
        <v>17</v>
      </c>
      <c r="D423" s="25">
        <v>12</v>
      </c>
      <c r="E423" s="25">
        <v>11</v>
      </c>
      <c r="F423" s="25">
        <v>6</v>
      </c>
      <c r="G423" s="25">
        <v>5</v>
      </c>
      <c r="H423" s="25">
        <v>3</v>
      </c>
      <c r="I423" s="24">
        <v>6.8181818181818177E-2</v>
      </c>
      <c r="J423" s="24">
        <v>8.5106382978723402E-2</v>
      </c>
      <c r="K423" s="24">
        <v>0.93617021276595747</v>
      </c>
    </row>
    <row r="424" spans="1:11" hidden="1" x14ac:dyDescent="0.2">
      <c r="A424" s="22" t="s">
        <v>964</v>
      </c>
      <c r="B424" s="25">
        <v>85</v>
      </c>
      <c r="C424" s="25">
        <v>48</v>
      </c>
      <c r="D424" s="25">
        <v>39</v>
      </c>
      <c r="E424" s="25">
        <v>34</v>
      </c>
      <c r="F424" s="25">
        <v>25</v>
      </c>
      <c r="G424" s="25">
        <v>24</v>
      </c>
      <c r="H424" s="25">
        <v>3</v>
      </c>
      <c r="I424" s="24">
        <v>3.5294117647058823E-2</v>
      </c>
      <c r="J424" s="24">
        <v>2.0408163265306121E-2</v>
      </c>
      <c r="K424" s="24">
        <v>1.7346938775510203</v>
      </c>
    </row>
    <row r="425" spans="1:11" x14ac:dyDescent="0.2">
      <c r="A425" s="22" t="s">
        <v>965</v>
      </c>
      <c r="B425" s="25">
        <v>19</v>
      </c>
      <c r="C425" s="25">
        <v>10</v>
      </c>
      <c r="D425" s="25">
        <v>7</v>
      </c>
      <c r="E425" s="25">
        <v>6</v>
      </c>
      <c r="F425" s="25">
        <v>5</v>
      </c>
      <c r="G425" s="25">
        <v>5</v>
      </c>
      <c r="H425" s="25">
        <v>3</v>
      </c>
      <c r="I425" s="24">
        <v>0.15789473684210525</v>
      </c>
      <c r="J425" s="24">
        <v>0.2</v>
      </c>
      <c r="K425" s="24">
        <v>0.95</v>
      </c>
    </row>
    <row r="426" spans="1:11" x14ac:dyDescent="0.2">
      <c r="A426" s="22" t="s">
        <v>966</v>
      </c>
      <c r="B426" s="25">
        <v>13</v>
      </c>
      <c r="C426" s="25">
        <v>9</v>
      </c>
      <c r="D426" s="25">
        <v>8</v>
      </c>
      <c r="E426" s="25">
        <v>7</v>
      </c>
      <c r="F426" s="25">
        <v>6</v>
      </c>
      <c r="G426" s="25">
        <v>6</v>
      </c>
      <c r="H426" s="25">
        <v>3</v>
      </c>
      <c r="I426" s="24">
        <v>0.23076923076923078</v>
      </c>
      <c r="J426" s="24" t="s">
        <v>1233</v>
      </c>
      <c r="K426" s="24">
        <v>0</v>
      </c>
    </row>
    <row r="427" spans="1:11" x14ac:dyDescent="0.2">
      <c r="A427" s="22" t="s">
        <v>967</v>
      </c>
      <c r="B427" s="25">
        <v>24</v>
      </c>
      <c r="C427" s="25">
        <v>18</v>
      </c>
      <c r="D427" s="25">
        <v>12</v>
      </c>
      <c r="E427" s="25">
        <v>12</v>
      </c>
      <c r="F427" s="25">
        <v>6</v>
      </c>
      <c r="G427" s="25">
        <v>6</v>
      </c>
      <c r="H427" s="25">
        <v>3</v>
      </c>
      <c r="I427" s="24">
        <v>0.125</v>
      </c>
      <c r="J427" s="24">
        <v>5.5555555555555552E-2</v>
      </c>
      <c r="K427" s="24">
        <v>1.3333333333333333</v>
      </c>
    </row>
    <row r="428" spans="1:11" hidden="1" x14ac:dyDescent="0.2">
      <c r="A428" s="22" t="s">
        <v>968</v>
      </c>
      <c r="B428" s="25">
        <v>43</v>
      </c>
      <c r="C428" s="25">
        <v>24</v>
      </c>
      <c r="D428" s="25">
        <v>17</v>
      </c>
      <c r="E428" s="25">
        <v>15</v>
      </c>
      <c r="F428" s="25">
        <v>13</v>
      </c>
      <c r="G428" s="25">
        <v>13</v>
      </c>
      <c r="H428" s="25">
        <v>3</v>
      </c>
      <c r="I428" s="24">
        <v>6.9767441860465115E-2</v>
      </c>
      <c r="J428" s="24">
        <v>5.8823529411764705E-2</v>
      </c>
      <c r="K428" s="24">
        <v>2.5294117647058822</v>
      </c>
    </row>
    <row r="429" spans="1:11" x14ac:dyDescent="0.2">
      <c r="A429" s="22" t="s">
        <v>969</v>
      </c>
      <c r="B429" s="25">
        <v>15</v>
      </c>
      <c r="C429" s="25">
        <v>6</v>
      </c>
      <c r="D429" s="25">
        <v>4</v>
      </c>
      <c r="E429" s="25">
        <v>4</v>
      </c>
      <c r="F429" s="25">
        <v>4</v>
      </c>
      <c r="G429" s="25">
        <v>4</v>
      </c>
      <c r="H429" s="25">
        <v>3</v>
      </c>
      <c r="I429" s="24">
        <v>0.2</v>
      </c>
      <c r="J429" s="24">
        <v>0.33333333333333331</v>
      </c>
      <c r="K429" s="24">
        <v>5</v>
      </c>
    </row>
    <row r="430" spans="1:11" hidden="1" x14ac:dyDescent="0.2">
      <c r="A430" s="22" t="s">
        <v>970</v>
      </c>
      <c r="B430" s="25">
        <v>47</v>
      </c>
      <c r="C430" s="25">
        <v>31</v>
      </c>
      <c r="D430" s="25">
        <v>23</v>
      </c>
      <c r="E430" s="25">
        <v>22</v>
      </c>
      <c r="F430" s="25">
        <v>17</v>
      </c>
      <c r="G430" s="25">
        <v>13</v>
      </c>
      <c r="H430" s="25">
        <v>3</v>
      </c>
      <c r="I430" s="24">
        <v>6.3829787234042548E-2</v>
      </c>
      <c r="J430" s="24">
        <v>8.6956521739130432E-2</v>
      </c>
      <c r="K430" s="24">
        <v>2.0434782608695654</v>
      </c>
    </row>
    <row r="431" spans="1:11" hidden="1" x14ac:dyDescent="0.2">
      <c r="A431" s="22" t="s">
        <v>971</v>
      </c>
      <c r="B431" s="25">
        <v>46</v>
      </c>
      <c r="C431" s="25">
        <v>15</v>
      </c>
      <c r="D431" s="25">
        <v>12</v>
      </c>
      <c r="E431" s="25">
        <v>11</v>
      </c>
      <c r="F431" s="25">
        <v>9</v>
      </c>
      <c r="G431" s="25">
        <v>8</v>
      </c>
      <c r="H431" s="25">
        <v>3</v>
      </c>
      <c r="I431" s="24">
        <v>6.5217391304347824E-2</v>
      </c>
      <c r="J431" s="24">
        <v>6.6666666666666666E-2</v>
      </c>
      <c r="K431" s="24">
        <v>1.5333333333333334</v>
      </c>
    </row>
    <row r="432" spans="1:11" hidden="1" x14ac:dyDescent="0.2">
      <c r="A432" s="22" t="s">
        <v>756</v>
      </c>
      <c r="B432" s="25">
        <v>82</v>
      </c>
      <c r="C432" s="25">
        <v>44</v>
      </c>
      <c r="D432" s="25">
        <v>27</v>
      </c>
      <c r="E432" s="25">
        <v>21</v>
      </c>
      <c r="F432" s="25">
        <v>17</v>
      </c>
      <c r="G432" s="25">
        <v>17</v>
      </c>
      <c r="H432" s="25">
        <v>3</v>
      </c>
      <c r="I432" s="24">
        <v>3.6585365853658534E-2</v>
      </c>
      <c r="J432" s="24">
        <v>2.8985507246376812E-2</v>
      </c>
      <c r="K432" s="24">
        <v>1.1884057971014492</v>
      </c>
    </row>
    <row r="433" spans="1:11" x14ac:dyDescent="0.2">
      <c r="A433" s="22" t="s">
        <v>972</v>
      </c>
      <c r="B433" s="25">
        <v>16</v>
      </c>
      <c r="C433" s="25">
        <v>11</v>
      </c>
      <c r="D433" s="25">
        <v>7</v>
      </c>
      <c r="E433" s="25">
        <v>6</v>
      </c>
      <c r="F433" s="25">
        <v>6</v>
      </c>
      <c r="G433" s="25">
        <v>6</v>
      </c>
      <c r="H433" s="25">
        <v>3</v>
      </c>
      <c r="I433" s="24">
        <v>0.1875</v>
      </c>
      <c r="J433" s="24" t="s">
        <v>1233</v>
      </c>
      <c r="K433" s="24">
        <v>0</v>
      </c>
    </row>
    <row r="434" spans="1:11" x14ac:dyDescent="0.2">
      <c r="A434" s="22" t="s">
        <v>464</v>
      </c>
      <c r="B434" s="25">
        <v>14</v>
      </c>
      <c r="C434" s="25">
        <v>9</v>
      </c>
      <c r="D434" s="25">
        <v>6</v>
      </c>
      <c r="E434" s="25">
        <v>5</v>
      </c>
      <c r="F434" s="25">
        <v>4</v>
      </c>
      <c r="G434" s="25">
        <v>4</v>
      </c>
      <c r="H434" s="25">
        <v>3</v>
      </c>
      <c r="I434" s="24">
        <v>0.21428571428571427</v>
      </c>
      <c r="J434" s="24">
        <v>0.16283524904214558</v>
      </c>
      <c r="K434" s="24">
        <v>2.681992337164751E-2</v>
      </c>
    </row>
    <row r="435" spans="1:11" x14ac:dyDescent="0.2">
      <c r="A435" s="22" t="s">
        <v>973</v>
      </c>
      <c r="B435" s="25">
        <v>17</v>
      </c>
      <c r="C435" s="25">
        <v>15</v>
      </c>
      <c r="D435" s="25">
        <v>11</v>
      </c>
      <c r="E435" s="25">
        <v>11</v>
      </c>
      <c r="F435" s="25">
        <v>9</v>
      </c>
      <c r="G435" s="25">
        <v>8</v>
      </c>
      <c r="H435" s="25">
        <v>3</v>
      </c>
      <c r="I435" s="24">
        <v>0.17647058823529413</v>
      </c>
      <c r="J435" s="24" t="s">
        <v>1233</v>
      </c>
      <c r="K435" s="24">
        <v>0</v>
      </c>
    </row>
    <row r="436" spans="1:11" x14ac:dyDescent="0.2">
      <c r="A436" s="22" t="s">
        <v>974</v>
      </c>
      <c r="B436" s="25">
        <v>24</v>
      </c>
      <c r="C436" s="25">
        <v>19</v>
      </c>
      <c r="D436" s="25">
        <v>17</v>
      </c>
      <c r="E436" s="25">
        <v>14</v>
      </c>
      <c r="F436" s="25">
        <v>11</v>
      </c>
      <c r="G436" s="25">
        <v>11</v>
      </c>
      <c r="H436" s="25">
        <v>3</v>
      </c>
      <c r="I436" s="24">
        <v>0.125</v>
      </c>
      <c r="J436" s="24" t="s">
        <v>1233</v>
      </c>
      <c r="K436" s="24">
        <v>0</v>
      </c>
    </row>
    <row r="437" spans="1:11" hidden="1" x14ac:dyDescent="0.2">
      <c r="A437" s="22" t="s">
        <v>975</v>
      </c>
      <c r="B437" s="25">
        <v>48</v>
      </c>
      <c r="C437" s="25">
        <v>33</v>
      </c>
      <c r="D437" s="25">
        <v>21</v>
      </c>
      <c r="E437" s="25">
        <v>17</v>
      </c>
      <c r="F437" s="25">
        <v>10</v>
      </c>
      <c r="G437" s="25">
        <v>10</v>
      </c>
      <c r="H437" s="25">
        <v>3</v>
      </c>
      <c r="I437" s="24">
        <v>6.25E-2</v>
      </c>
      <c r="J437" s="24">
        <v>5.2631578947368418E-2</v>
      </c>
      <c r="K437" s="24">
        <v>2.5263157894736841</v>
      </c>
    </row>
    <row r="438" spans="1:11" x14ac:dyDescent="0.2">
      <c r="A438" s="22" t="s">
        <v>514</v>
      </c>
      <c r="B438" s="25">
        <v>14</v>
      </c>
      <c r="C438" s="25">
        <v>13</v>
      </c>
      <c r="D438" s="25">
        <v>8</v>
      </c>
      <c r="E438" s="25">
        <v>7</v>
      </c>
      <c r="F438" s="25">
        <v>7</v>
      </c>
      <c r="G438" s="25">
        <v>7</v>
      </c>
      <c r="H438" s="25">
        <v>3</v>
      </c>
      <c r="I438" s="24">
        <v>0.21428571428571427</v>
      </c>
      <c r="J438" s="24">
        <v>0.11338289962825279</v>
      </c>
      <c r="K438" s="24">
        <v>2.6022304832713755E-2</v>
      </c>
    </row>
    <row r="439" spans="1:11" x14ac:dyDescent="0.2">
      <c r="A439" s="22" t="s">
        <v>976</v>
      </c>
      <c r="B439" s="25">
        <v>6</v>
      </c>
      <c r="C439" s="25">
        <v>6</v>
      </c>
      <c r="D439" s="25">
        <v>5</v>
      </c>
      <c r="E439" s="25">
        <v>5</v>
      </c>
      <c r="F439" s="25">
        <v>4</v>
      </c>
      <c r="G439" s="25">
        <v>4</v>
      </c>
      <c r="H439" s="25">
        <v>3</v>
      </c>
      <c r="I439" s="24">
        <v>0.5</v>
      </c>
      <c r="J439" s="24">
        <v>0.23076923076923078</v>
      </c>
      <c r="K439" s="24">
        <v>0.46153846153846156</v>
      </c>
    </row>
    <row r="440" spans="1:11" x14ac:dyDescent="0.2">
      <c r="A440" s="22" t="s">
        <v>977</v>
      </c>
      <c r="B440" s="25">
        <v>23</v>
      </c>
      <c r="C440" s="25">
        <v>19</v>
      </c>
      <c r="D440" s="25">
        <v>15</v>
      </c>
      <c r="E440" s="25">
        <v>15</v>
      </c>
      <c r="F440" s="25">
        <v>12</v>
      </c>
      <c r="G440" s="25">
        <v>11</v>
      </c>
      <c r="H440" s="25">
        <v>3</v>
      </c>
      <c r="I440" s="24">
        <v>0.13043478260869565</v>
      </c>
      <c r="J440" s="24" t="s">
        <v>1233</v>
      </c>
      <c r="K440" s="24">
        <v>0</v>
      </c>
    </row>
    <row r="441" spans="1:11" hidden="1" x14ac:dyDescent="0.2">
      <c r="A441" s="22" t="s">
        <v>978</v>
      </c>
      <c r="B441" s="25">
        <v>31</v>
      </c>
      <c r="C441" s="25">
        <v>29</v>
      </c>
      <c r="D441" s="25">
        <v>24</v>
      </c>
      <c r="E441" s="25">
        <v>20</v>
      </c>
      <c r="F441" s="25">
        <v>19</v>
      </c>
      <c r="G441" s="25">
        <v>19</v>
      </c>
      <c r="H441" s="25">
        <v>3</v>
      </c>
      <c r="I441" s="24">
        <v>9.6774193548387094E-2</v>
      </c>
      <c r="J441" s="24">
        <v>5.4054054054054057E-2</v>
      </c>
      <c r="K441" s="24">
        <v>0.83783783783783783</v>
      </c>
    </row>
    <row r="442" spans="1:11" x14ac:dyDescent="0.2">
      <c r="A442" s="22" t="s">
        <v>979</v>
      </c>
      <c r="B442" s="25">
        <v>7</v>
      </c>
      <c r="C442" s="25">
        <v>5</v>
      </c>
      <c r="D442" s="25">
        <v>5</v>
      </c>
      <c r="E442" s="25">
        <v>5</v>
      </c>
      <c r="F442" s="25">
        <v>4</v>
      </c>
      <c r="G442" s="25">
        <v>4</v>
      </c>
      <c r="H442" s="25">
        <v>3</v>
      </c>
      <c r="I442" s="24">
        <v>0.42857142857142855</v>
      </c>
      <c r="J442" s="24">
        <v>0.14377654781825203</v>
      </c>
      <c r="K442" s="24">
        <v>9.0101686188698673E-4</v>
      </c>
    </row>
    <row r="443" spans="1:11" x14ac:dyDescent="0.2">
      <c r="A443" s="22" t="s">
        <v>980</v>
      </c>
      <c r="B443" s="25">
        <v>23</v>
      </c>
      <c r="C443" s="25">
        <v>12</v>
      </c>
      <c r="D443" s="25">
        <v>8</v>
      </c>
      <c r="E443" s="25">
        <v>6</v>
      </c>
      <c r="F443" s="25">
        <v>5</v>
      </c>
      <c r="G443" s="25">
        <v>5</v>
      </c>
      <c r="H443" s="25">
        <v>3</v>
      </c>
      <c r="I443" s="24">
        <v>0.13043478260869565</v>
      </c>
      <c r="J443" s="24">
        <v>0.1111111111111111</v>
      </c>
      <c r="K443" s="24">
        <v>1.2777777777777777</v>
      </c>
    </row>
    <row r="444" spans="1:11" hidden="1" x14ac:dyDescent="0.2">
      <c r="A444" s="22" t="s">
        <v>766</v>
      </c>
      <c r="B444" s="25">
        <v>117</v>
      </c>
      <c r="C444" s="25">
        <v>58</v>
      </c>
      <c r="D444" s="25">
        <v>35</v>
      </c>
      <c r="E444" s="25">
        <v>24</v>
      </c>
      <c r="F444" s="25">
        <v>19</v>
      </c>
      <c r="G444" s="25">
        <v>18</v>
      </c>
      <c r="H444" s="25">
        <v>3</v>
      </c>
      <c r="I444" s="24">
        <v>2.564102564102564E-2</v>
      </c>
      <c r="J444" s="24">
        <v>6.25E-2</v>
      </c>
      <c r="K444" s="24">
        <v>2.4375</v>
      </c>
    </row>
    <row r="445" spans="1:11" hidden="1" x14ac:dyDescent="0.2">
      <c r="A445" s="22" t="s">
        <v>379</v>
      </c>
      <c r="B445" s="25">
        <v>77</v>
      </c>
      <c r="C445" s="25">
        <v>38</v>
      </c>
      <c r="D445" s="25">
        <v>25</v>
      </c>
      <c r="E445" s="25">
        <v>25</v>
      </c>
      <c r="F445" s="25">
        <v>21</v>
      </c>
      <c r="G445" s="25">
        <v>21</v>
      </c>
      <c r="H445" s="25">
        <v>3</v>
      </c>
      <c r="I445" s="24">
        <v>3.896103896103896E-2</v>
      </c>
      <c r="J445" s="24">
        <v>6.1538461538461542E-2</v>
      </c>
      <c r="K445" s="24">
        <v>1.1846153846153846</v>
      </c>
    </row>
    <row r="446" spans="1:11" hidden="1" x14ac:dyDescent="0.2">
      <c r="A446" s="22" t="s">
        <v>640</v>
      </c>
      <c r="B446" s="25">
        <v>144</v>
      </c>
      <c r="C446" s="25">
        <v>93</v>
      </c>
      <c r="D446" s="25">
        <v>61</v>
      </c>
      <c r="E446" s="25">
        <v>50</v>
      </c>
      <c r="F446" s="25">
        <v>30</v>
      </c>
      <c r="G446" s="25">
        <v>30</v>
      </c>
      <c r="H446" s="25">
        <v>3</v>
      </c>
      <c r="I446" s="24">
        <v>2.0833333333333332E-2</v>
      </c>
      <c r="J446" s="24">
        <v>1.2345679012345678E-2</v>
      </c>
      <c r="K446" s="24">
        <v>1.7777777777777777</v>
      </c>
    </row>
    <row r="447" spans="1:11" hidden="1" x14ac:dyDescent="0.2">
      <c r="A447" s="22" t="s">
        <v>981</v>
      </c>
      <c r="B447" s="25">
        <v>47</v>
      </c>
      <c r="C447" s="25">
        <v>36</v>
      </c>
      <c r="D447" s="25">
        <v>27</v>
      </c>
      <c r="E447" s="25">
        <v>19</v>
      </c>
      <c r="F447" s="25">
        <v>13</v>
      </c>
      <c r="G447" s="25">
        <v>13</v>
      </c>
      <c r="H447" s="25">
        <v>3</v>
      </c>
      <c r="I447" s="24">
        <v>6.3829787234042548E-2</v>
      </c>
      <c r="J447" s="24">
        <v>7.8947368421052627E-2</v>
      </c>
      <c r="K447" s="24">
        <v>1.236842105263158</v>
      </c>
    </row>
    <row r="448" spans="1:11" x14ac:dyDescent="0.2">
      <c r="A448" s="22" t="s">
        <v>678</v>
      </c>
      <c r="B448" s="25">
        <v>17</v>
      </c>
      <c r="C448" s="25">
        <v>10</v>
      </c>
      <c r="D448" s="25">
        <v>7</v>
      </c>
      <c r="E448" s="25">
        <v>6</v>
      </c>
      <c r="F448" s="25">
        <v>6</v>
      </c>
      <c r="G448" s="25">
        <v>6</v>
      </c>
      <c r="H448" s="25">
        <v>3</v>
      </c>
      <c r="I448" s="24">
        <v>0.17647058823529413</v>
      </c>
      <c r="J448" s="24" t="s">
        <v>1233</v>
      </c>
      <c r="K448" s="24">
        <v>0</v>
      </c>
    </row>
    <row r="449" spans="1:11" hidden="1" x14ac:dyDescent="0.2">
      <c r="A449" s="22" t="s">
        <v>353</v>
      </c>
      <c r="B449" s="25">
        <v>204</v>
      </c>
      <c r="C449" s="25">
        <v>88</v>
      </c>
      <c r="D449" s="25">
        <v>48</v>
      </c>
      <c r="E449" s="25">
        <v>39</v>
      </c>
      <c r="F449" s="25">
        <v>29</v>
      </c>
      <c r="G449" s="25">
        <v>29</v>
      </c>
      <c r="H449" s="25">
        <v>3</v>
      </c>
      <c r="I449" s="24">
        <v>1.4705882352941176E-2</v>
      </c>
      <c r="J449" s="24">
        <v>2.4390243902439025E-2</v>
      </c>
      <c r="K449" s="24">
        <v>4.975609756097561</v>
      </c>
    </row>
    <row r="450" spans="1:11" x14ac:dyDescent="0.2">
      <c r="A450" s="22" t="s">
        <v>982</v>
      </c>
      <c r="B450" s="25">
        <v>8</v>
      </c>
      <c r="C450" s="25">
        <v>6</v>
      </c>
      <c r="D450" s="25">
        <v>5</v>
      </c>
      <c r="E450" s="25">
        <v>5</v>
      </c>
      <c r="F450" s="25">
        <v>4</v>
      </c>
      <c r="G450" s="25">
        <v>3</v>
      </c>
      <c r="H450" s="25">
        <v>2</v>
      </c>
      <c r="I450" s="24">
        <v>0.25</v>
      </c>
      <c r="J450" s="24" t="s">
        <v>1233</v>
      </c>
      <c r="K450" s="24">
        <v>0</v>
      </c>
    </row>
    <row r="451" spans="1:11" hidden="1" x14ac:dyDescent="0.2">
      <c r="A451" s="22" t="s">
        <v>983</v>
      </c>
      <c r="B451" s="25">
        <v>43</v>
      </c>
      <c r="C451" s="25">
        <v>17</v>
      </c>
      <c r="D451" s="25">
        <v>12</v>
      </c>
      <c r="E451" s="25">
        <v>9</v>
      </c>
      <c r="F451" s="25">
        <v>8</v>
      </c>
      <c r="G451" s="25">
        <v>8</v>
      </c>
      <c r="H451" s="25">
        <v>2</v>
      </c>
      <c r="I451" s="24">
        <v>4.6511627906976744E-2</v>
      </c>
      <c r="J451" s="24">
        <v>0.10526315789473684</v>
      </c>
      <c r="K451" s="24">
        <v>2.263157894736842</v>
      </c>
    </row>
    <row r="452" spans="1:11" x14ac:dyDescent="0.2">
      <c r="A452" s="22" t="s">
        <v>984</v>
      </c>
      <c r="B452" s="25">
        <v>15</v>
      </c>
      <c r="C452" s="25">
        <v>10</v>
      </c>
      <c r="D452" s="25">
        <v>7</v>
      </c>
      <c r="E452" s="25">
        <v>7</v>
      </c>
      <c r="F452" s="25">
        <v>6</v>
      </c>
      <c r="G452" s="25">
        <v>5</v>
      </c>
      <c r="H452" s="25">
        <v>2</v>
      </c>
      <c r="I452" s="24">
        <v>0.13333333333333333</v>
      </c>
      <c r="J452" s="24">
        <v>0.2</v>
      </c>
      <c r="K452" s="24">
        <v>1.5</v>
      </c>
    </row>
    <row r="453" spans="1:11" hidden="1" x14ac:dyDescent="0.2">
      <c r="A453" s="22" t="s">
        <v>985</v>
      </c>
      <c r="B453" s="25">
        <v>67</v>
      </c>
      <c r="C453" s="25">
        <v>27</v>
      </c>
      <c r="D453" s="25">
        <v>20</v>
      </c>
      <c r="E453" s="25">
        <v>18</v>
      </c>
      <c r="F453" s="25">
        <v>12</v>
      </c>
      <c r="G453" s="25">
        <v>11</v>
      </c>
      <c r="H453" s="25">
        <v>2</v>
      </c>
      <c r="I453" s="24">
        <v>2.9850746268656716E-2</v>
      </c>
      <c r="J453" s="24">
        <v>0.14814814814814814</v>
      </c>
      <c r="K453" s="24">
        <v>2.4814814814814814</v>
      </c>
    </row>
    <row r="454" spans="1:11" x14ac:dyDescent="0.2">
      <c r="A454" s="22" t="s">
        <v>986</v>
      </c>
      <c r="B454" s="25">
        <v>7</v>
      </c>
      <c r="C454" s="25">
        <v>4</v>
      </c>
      <c r="D454" s="25">
        <v>2</v>
      </c>
      <c r="E454" s="25">
        <v>2</v>
      </c>
      <c r="F454" s="25">
        <v>2</v>
      </c>
      <c r="G454" s="25">
        <v>2</v>
      </c>
      <c r="H454" s="25">
        <v>2</v>
      </c>
      <c r="I454" s="24">
        <v>0.2857142857142857</v>
      </c>
      <c r="J454" s="24" t="s">
        <v>1233</v>
      </c>
      <c r="K454" s="24">
        <v>0</v>
      </c>
    </row>
    <row r="455" spans="1:11" hidden="1" x14ac:dyDescent="0.2">
      <c r="A455" s="22" t="s">
        <v>987</v>
      </c>
      <c r="B455" s="25">
        <v>17</v>
      </c>
      <c r="C455" s="25">
        <v>9</v>
      </c>
      <c r="D455" s="25">
        <v>7</v>
      </c>
      <c r="E455" s="25">
        <v>7</v>
      </c>
      <c r="F455" s="25">
        <v>2</v>
      </c>
      <c r="G455" s="25">
        <v>2</v>
      </c>
      <c r="H455" s="25">
        <v>2</v>
      </c>
      <c r="I455" s="24">
        <v>0.11764705882352941</v>
      </c>
      <c r="J455" s="24" t="s">
        <v>1233</v>
      </c>
      <c r="K455" s="24">
        <v>0</v>
      </c>
    </row>
    <row r="456" spans="1:11" hidden="1" x14ac:dyDescent="0.2">
      <c r="A456" s="22" t="s">
        <v>988</v>
      </c>
      <c r="B456" s="25">
        <v>20</v>
      </c>
      <c r="C456" s="25">
        <v>10</v>
      </c>
      <c r="D456" s="25">
        <v>7</v>
      </c>
      <c r="E456" s="25">
        <v>5</v>
      </c>
      <c r="F456" s="25">
        <v>3</v>
      </c>
      <c r="G456" s="25">
        <v>3</v>
      </c>
      <c r="H456" s="25">
        <v>2</v>
      </c>
      <c r="I456" s="24">
        <v>0.1</v>
      </c>
      <c r="J456" s="24">
        <v>5.8823529411764705E-2</v>
      </c>
      <c r="K456" s="24">
        <v>1.1764705882352942</v>
      </c>
    </row>
    <row r="457" spans="1:11" hidden="1" x14ac:dyDescent="0.2">
      <c r="A457" s="22" t="s">
        <v>989</v>
      </c>
      <c r="B457" s="25">
        <v>23</v>
      </c>
      <c r="C457" s="25">
        <v>12</v>
      </c>
      <c r="D457" s="25">
        <v>7</v>
      </c>
      <c r="E457" s="25">
        <v>6</v>
      </c>
      <c r="F457" s="25">
        <v>5</v>
      </c>
      <c r="G457" s="25">
        <v>5</v>
      </c>
      <c r="H457" s="25">
        <v>2</v>
      </c>
      <c r="I457" s="24">
        <v>8.6956521739130432E-2</v>
      </c>
      <c r="J457" s="24" t="s">
        <v>1233</v>
      </c>
      <c r="K457" s="24">
        <v>0</v>
      </c>
    </row>
    <row r="458" spans="1:11" hidden="1" x14ac:dyDescent="0.2">
      <c r="A458" s="22" t="s">
        <v>990</v>
      </c>
      <c r="B458" s="25">
        <v>27</v>
      </c>
      <c r="C458" s="25">
        <v>13</v>
      </c>
      <c r="D458" s="25">
        <v>10</v>
      </c>
      <c r="E458" s="25">
        <v>9</v>
      </c>
      <c r="F458" s="25">
        <v>7</v>
      </c>
      <c r="G458" s="25">
        <v>7</v>
      </c>
      <c r="H458" s="25">
        <v>2</v>
      </c>
      <c r="I458" s="24">
        <v>7.407407407407407E-2</v>
      </c>
      <c r="J458" s="24" t="s">
        <v>1233</v>
      </c>
      <c r="K458" s="24">
        <v>0</v>
      </c>
    </row>
    <row r="459" spans="1:11" x14ac:dyDescent="0.2">
      <c r="A459" s="22" t="s">
        <v>991</v>
      </c>
      <c r="B459" s="25">
        <v>13</v>
      </c>
      <c r="C459" s="25">
        <v>6</v>
      </c>
      <c r="D459" s="25">
        <v>5</v>
      </c>
      <c r="E459" s="25">
        <v>3</v>
      </c>
      <c r="F459" s="25">
        <v>3</v>
      </c>
      <c r="G459" s="25">
        <v>3</v>
      </c>
      <c r="H459" s="25">
        <v>2</v>
      </c>
      <c r="I459" s="24">
        <v>0.15384615384615385</v>
      </c>
      <c r="J459" s="24" t="s">
        <v>1233</v>
      </c>
      <c r="K459" s="24">
        <v>0</v>
      </c>
    </row>
    <row r="460" spans="1:11" x14ac:dyDescent="0.2">
      <c r="A460" s="22" t="s">
        <v>992</v>
      </c>
      <c r="B460" s="25">
        <v>16</v>
      </c>
      <c r="C460" s="25">
        <v>8</v>
      </c>
      <c r="D460" s="25">
        <v>5</v>
      </c>
      <c r="E460" s="25">
        <v>5</v>
      </c>
      <c r="F460" s="25">
        <v>5</v>
      </c>
      <c r="G460" s="25">
        <v>5</v>
      </c>
      <c r="H460" s="25">
        <v>2</v>
      </c>
      <c r="I460" s="24">
        <v>0.125</v>
      </c>
      <c r="J460" s="24" t="s">
        <v>1233</v>
      </c>
      <c r="K460" s="24">
        <v>0</v>
      </c>
    </row>
    <row r="461" spans="1:11" hidden="1" x14ac:dyDescent="0.2">
      <c r="A461" s="22" t="s">
        <v>993</v>
      </c>
      <c r="B461" s="25">
        <v>80</v>
      </c>
      <c r="C461" s="25">
        <v>30</v>
      </c>
      <c r="D461" s="25">
        <v>22</v>
      </c>
      <c r="E461" s="25">
        <v>18</v>
      </c>
      <c r="F461" s="25">
        <v>15</v>
      </c>
      <c r="G461" s="25">
        <v>15</v>
      </c>
      <c r="H461" s="25">
        <v>2</v>
      </c>
      <c r="I461" s="24">
        <v>2.5000000000000001E-2</v>
      </c>
      <c r="J461" s="24">
        <v>0.06</v>
      </c>
      <c r="K461" s="24">
        <v>1.6</v>
      </c>
    </row>
    <row r="462" spans="1:11" hidden="1" x14ac:dyDescent="0.2">
      <c r="A462" s="22" t="s">
        <v>994</v>
      </c>
      <c r="B462" s="25">
        <v>22</v>
      </c>
      <c r="C462" s="25">
        <v>6</v>
      </c>
      <c r="D462" s="25">
        <v>4</v>
      </c>
      <c r="E462" s="25">
        <v>3</v>
      </c>
      <c r="F462" s="25">
        <v>3</v>
      </c>
      <c r="G462" s="25">
        <v>3</v>
      </c>
      <c r="H462" s="25">
        <v>2</v>
      </c>
      <c r="I462" s="24">
        <v>9.0909090909090912E-2</v>
      </c>
      <c r="J462" s="24" t="s">
        <v>1233</v>
      </c>
      <c r="K462" s="24">
        <v>0</v>
      </c>
    </row>
    <row r="463" spans="1:11" hidden="1" x14ac:dyDescent="0.2">
      <c r="A463" s="22" t="s">
        <v>995</v>
      </c>
      <c r="B463" s="25">
        <v>20</v>
      </c>
      <c r="C463" s="25">
        <v>12</v>
      </c>
      <c r="D463" s="25">
        <v>8</v>
      </c>
      <c r="E463" s="25">
        <v>6</v>
      </c>
      <c r="F463" s="25">
        <v>6</v>
      </c>
      <c r="G463" s="25">
        <v>6</v>
      </c>
      <c r="H463" s="25">
        <v>2</v>
      </c>
      <c r="I463" s="24">
        <v>0.1</v>
      </c>
      <c r="J463" s="24">
        <v>7.6923076923076927E-2</v>
      </c>
      <c r="K463" s="24">
        <v>0.38461538461538464</v>
      </c>
    </row>
    <row r="464" spans="1:11" x14ac:dyDescent="0.2">
      <c r="A464" s="22" t="s">
        <v>996</v>
      </c>
      <c r="B464" s="25">
        <v>6</v>
      </c>
      <c r="C464" s="25">
        <v>6</v>
      </c>
      <c r="D464" s="25">
        <v>6</v>
      </c>
      <c r="E464" s="25">
        <v>5</v>
      </c>
      <c r="F464" s="25">
        <v>4</v>
      </c>
      <c r="G464" s="25">
        <v>4</v>
      </c>
      <c r="H464" s="25">
        <v>2</v>
      </c>
      <c r="I464" s="24">
        <v>0.33333333333333331</v>
      </c>
      <c r="J464" s="24" t="s">
        <v>1233</v>
      </c>
      <c r="K464" s="24">
        <v>0</v>
      </c>
    </row>
    <row r="465" spans="1:11" hidden="1" x14ac:dyDescent="0.2">
      <c r="A465" s="22" t="s">
        <v>997</v>
      </c>
      <c r="B465" s="25">
        <v>28</v>
      </c>
      <c r="C465" s="25">
        <v>8</v>
      </c>
      <c r="D465" s="25">
        <v>4</v>
      </c>
      <c r="E465" s="25">
        <v>3</v>
      </c>
      <c r="F465" s="25">
        <v>3</v>
      </c>
      <c r="G465" s="25">
        <v>3</v>
      </c>
      <c r="H465" s="25">
        <v>2</v>
      </c>
      <c r="I465" s="24">
        <v>7.1428571428571425E-2</v>
      </c>
      <c r="J465" s="24">
        <v>3.0303030303030304E-2</v>
      </c>
      <c r="K465" s="24">
        <v>0.84848484848484851</v>
      </c>
    </row>
    <row r="466" spans="1:11" hidden="1" x14ac:dyDescent="0.2">
      <c r="A466" s="22" t="s">
        <v>998</v>
      </c>
      <c r="B466" s="25">
        <v>40</v>
      </c>
      <c r="C466" s="25">
        <v>20</v>
      </c>
      <c r="D466" s="25">
        <v>13</v>
      </c>
      <c r="E466" s="25">
        <v>12</v>
      </c>
      <c r="F466" s="25">
        <v>9</v>
      </c>
      <c r="G466" s="25">
        <v>9</v>
      </c>
      <c r="H466" s="25">
        <v>2</v>
      </c>
      <c r="I466" s="24">
        <v>0.05</v>
      </c>
      <c r="J466" s="24" t="s">
        <v>1233</v>
      </c>
      <c r="K466" s="24">
        <v>0</v>
      </c>
    </row>
    <row r="467" spans="1:11" hidden="1" x14ac:dyDescent="0.2">
      <c r="A467" s="22" t="s">
        <v>999</v>
      </c>
      <c r="B467" s="25">
        <v>17</v>
      </c>
      <c r="C467" s="25">
        <v>9</v>
      </c>
      <c r="D467" s="25">
        <v>8</v>
      </c>
      <c r="E467" s="25">
        <v>7</v>
      </c>
      <c r="F467" s="25">
        <v>4</v>
      </c>
      <c r="G467" s="25">
        <v>4</v>
      </c>
      <c r="H467" s="25">
        <v>2</v>
      </c>
      <c r="I467" s="24">
        <v>0.11764705882352941</v>
      </c>
      <c r="J467" s="24" t="s">
        <v>1233</v>
      </c>
      <c r="K467" s="24">
        <v>0</v>
      </c>
    </row>
    <row r="468" spans="1:11" x14ac:dyDescent="0.2">
      <c r="A468" s="22" t="s">
        <v>732</v>
      </c>
      <c r="B468" s="25">
        <v>11</v>
      </c>
      <c r="C468" s="25">
        <v>7</v>
      </c>
      <c r="D468" s="25">
        <v>7</v>
      </c>
      <c r="E468" s="25">
        <v>7</v>
      </c>
      <c r="F468" s="25">
        <v>6</v>
      </c>
      <c r="G468" s="25">
        <v>5</v>
      </c>
      <c r="H468" s="25">
        <v>2</v>
      </c>
      <c r="I468" s="24">
        <v>0.18181818181818182</v>
      </c>
      <c r="J468" s="24" t="s">
        <v>1233</v>
      </c>
      <c r="K468" s="24">
        <v>0</v>
      </c>
    </row>
    <row r="469" spans="1:11" x14ac:dyDescent="0.2">
      <c r="A469" s="22" t="s">
        <v>1000</v>
      </c>
      <c r="B469" s="25">
        <v>10</v>
      </c>
      <c r="C469" s="25">
        <v>7</v>
      </c>
      <c r="D469" s="25">
        <v>5</v>
      </c>
      <c r="E469" s="25">
        <v>3</v>
      </c>
      <c r="F469" s="25">
        <v>2</v>
      </c>
      <c r="G469" s="25">
        <v>2</v>
      </c>
      <c r="H469" s="25">
        <v>2</v>
      </c>
      <c r="I469" s="24">
        <v>0.2</v>
      </c>
      <c r="J469" s="24" t="s">
        <v>1233</v>
      </c>
      <c r="K469" s="24">
        <v>0</v>
      </c>
    </row>
    <row r="470" spans="1:11" hidden="1" x14ac:dyDescent="0.2">
      <c r="A470" s="22" t="s">
        <v>409</v>
      </c>
      <c r="B470" s="25">
        <v>39</v>
      </c>
      <c r="C470" s="25">
        <v>25</v>
      </c>
      <c r="D470" s="25">
        <v>16</v>
      </c>
      <c r="E470" s="25">
        <v>15</v>
      </c>
      <c r="F470" s="25">
        <v>10</v>
      </c>
      <c r="G470" s="25">
        <v>9</v>
      </c>
      <c r="H470" s="25">
        <v>2</v>
      </c>
      <c r="I470" s="24">
        <v>5.128205128205128E-2</v>
      </c>
      <c r="J470" s="24">
        <v>7.4999999999999997E-2</v>
      </c>
      <c r="K470" s="24">
        <v>0.97499999999999998</v>
      </c>
    </row>
    <row r="471" spans="1:11" hidden="1" x14ac:dyDescent="0.2">
      <c r="A471" s="22" t="s">
        <v>1001</v>
      </c>
      <c r="B471" s="25">
        <v>30</v>
      </c>
      <c r="C471" s="25">
        <v>16</v>
      </c>
      <c r="D471" s="25">
        <v>9</v>
      </c>
      <c r="E471" s="25">
        <v>7</v>
      </c>
      <c r="F471" s="25">
        <v>5</v>
      </c>
      <c r="G471" s="25">
        <v>5</v>
      </c>
      <c r="H471" s="25">
        <v>2</v>
      </c>
      <c r="I471" s="24">
        <v>6.6666666666666666E-2</v>
      </c>
      <c r="J471" s="24">
        <v>5.2631578947368418E-2</v>
      </c>
      <c r="K471" s="24">
        <v>1.5789473684210527</v>
      </c>
    </row>
    <row r="472" spans="1:11" x14ac:dyDescent="0.2">
      <c r="A472" s="22" t="s">
        <v>1002</v>
      </c>
      <c r="B472" s="25">
        <v>3</v>
      </c>
      <c r="C472" s="25">
        <v>3</v>
      </c>
      <c r="D472" s="25">
        <v>3</v>
      </c>
      <c r="E472" s="25">
        <v>2</v>
      </c>
      <c r="F472" s="25">
        <v>2</v>
      </c>
      <c r="G472" s="25">
        <v>2</v>
      </c>
      <c r="H472" s="25">
        <v>2</v>
      </c>
      <c r="I472" s="24">
        <v>0.66666666666666663</v>
      </c>
      <c r="J472" s="24" t="s">
        <v>1233</v>
      </c>
      <c r="K472" s="24">
        <v>0</v>
      </c>
    </row>
    <row r="473" spans="1:11" x14ac:dyDescent="0.2">
      <c r="A473" s="22" t="s">
        <v>1003</v>
      </c>
      <c r="B473" s="25">
        <v>8</v>
      </c>
      <c r="C473" s="25">
        <v>4</v>
      </c>
      <c r="D473" s="25">
        <v>3</v>
      </c>
      <c r="E473" s="25">
        <v>2</v>
      </c>
      <c r="F473" s="25">
        <v>2</v>
      </c>
      <c r="G473" s="25">
        <v>2</v>
      </c>
      <c r="H473" s="25">
        <v>2</v>
      </c>
      <c r="I473" s="24">
        <v>0.25</v>
      </c>
      <c r="J473" s="24">
        <v>0.10522788203753351</v>
      </c>
      <c r="K473" s="24">
        <v>5.3619302949061663E-3</v>
      </c>
    </row>
    <row r="474" spans="1:11" x14ac:dyDescent="0.2">
      <c r="A474" s="22" t="s">
        <v>1004</v>
      </c>
      <c r="B474" s="25">
        <v>7</v>
      </c>
      <c r="C474" s="25">
        <v>6</v>
      </c>
      <c r="D474" s="25">
        <v>6</v>
      </c>
      <c r="E474" s="25">
        <v>6</v>
      </c>
      <c r="F474" s="25">
        <v>6</v>
      </c>
      <c r="G474" s="25">
        <v>5</v>
      </c>
      <c r="H474" s="25">
        <v>2</v>
      </c>
      <c r="I474" s="24">
        <v>0.2857142857142857</v>
      </c>
      <c r="J474" s="24" t="s">
        <v>1233</v>
      </c>
      <c r="K474" s="24">
        <v>0</v>
      </c>
    </row>
    <row r="475" spans="1:11" x14ac:dyDescent="0.2">
      <c r="A475" s="22" t="s">
        <v>1005</v>
      </c>
      <c r="B475" s="25">
        <v>6</v>
      </c>
      <c r="C475" s="25">
        <v>4</v>
      </c>
      <c r="D475" s="25">
        <v>4</v>
      </c>
      <c r="E475" s="25">
        <v>3</v>
      </c>
      <c r="F475" s="25">
        <v>3</v>
      </c>
      <c r="G475" s="25">
        <v>3</v>
      </c>
      <c r="H475" s="25">
        <v>2</v>
      </c>
      <c r="I475" s="24">
        <v>0.33333333333333331</v>
      </c>
      <c r="J475" s="24">
        <v>0.25</v>
      </c>
      <c r="K475" s="24">
        <v>1.5</v>
      </c>
    </row>
    <row r="476" spans="1:11" x14ac:dyDescent="0.2">
      <c r="A476" s="22" t="s">
        <v>1006</v>
      </c>
      <c r="B476" s="25">
        <v>15</v>
      </c>
      <c r="C476" s="25">
        <v>7</v>
      </c>
      <c r="D476" s="25">
        <v>4</v>
      </c>
      <c r="E476" s="25">
        <v>3</v>
      </c>
      <c r="F476" s="25">
        <v>3</v>
      </c>
      <c r="G476" s="25">
        <v>3</v>
      </c>
      <c r="H476" s="25">
        <v>2</v>
      </c>
      <c r="I476" s="24">
        <v>0.13333333333333333</v>
      </c>
      <c r="J476" s="24">
        <v>0.1111111111111111</v>
      </c>
      <c r="K476" s="24">
        <v>1.6666666666666667</v>
      </c>
    </row>
    <row r="477" spans="1:11" hidden="1" x14ac:dyDescent="0.2">
      <c r="A477" s="22" t="s">
        <v>1007</v>
      </c>
      <c r="B477" s="25">
        <v>34</v>
      </c>
      <c r="C477" s="25">
        <v>18</v>
      </c>
      <c r="D477" s="25">
        <v>9</v>
      </c>
      <c r="E477" s="25">
        <v>9</v>
      </c>
      <c r="F477" s="25">
        <v>8</v>
      </c>
      <c r="G477" s="25">
        <v>8</v>
      </c>
      <c r="H477" s="25">
        <v>2</v>
      </c>
      <c r="I477" s="24">
        <v>5.8823529411764705E-2</v>
      </c>
      <c r="J477" s="24" t="s">
        <v>1233</v>
      </c>
      <c r="K477" s="24">
        <v>0</v>
      </c>
    </row>
    <row r="478" spans="1:11" x14ac:dyDescent="0.2">
      <c r="A478" s="22" t="s">
        <v>383</v>
      </c>
      <c r="B478" s="25">
        <v>7</v>
      </c>
      <c r="C478" s="25">
        <v>5</v>
      </c>
      <c r="D478" s="25">
        <v>3</v>
      </c>
      <c r="E478" s="25">
        <v>3</v>
      </c>
      <c r="F478" s="25">
        <v>3</v>
      </c>
      <c r="G478" s="25">
        <v>3</v>
      </c>
      <c r="H478" s="25">
        <v>2</v>
      </c>
      <c r="I478" s="24">
        <v>0.2857142857142857</v>
      </c>
      <c r="J478" s="24">
        <v>0.3</v>
      </c>
      <c r="K478" s="24">
        <v>0.7</v>
      </c>
    </row>
    <row r="479" spans="1:11" hidden="1" x14ac:dyDescent="0.2">
      <c r="A479" s="22" t="s">
        <v>1008</v>
      </c>
      <c r="B479" s="25">
        <v>20</v>
      </c>
      <c r="C479" s="25">
        <v>14</v>
      </c>
      <c r="D479" s="25">
        <v>7</v>
      </c>
      <c r="E479" s="25">
        <v>5</v>
      </c>
      <c r="F479" s="25">
        <v>4</v>
      </c>
      <c r="G479" s="25">
        <v>4</v>
      </c>
      <c r="H479" s="25">
        <v>2</v>
      </c>
      <c r="I479" s="24">
        <v>0.1</v>
      </c>
      <c r="J479" s="24" t="s">
        <v>1233</v>
      </c>
      <c r="K479" s="24">
        <v>0</v>
      </c>
    </row>
    <row r="480" spans="1:11" x14ac:dyDescent="0.2">
      <c r="A480" s="22" t="s">
        <v>1009</v>
      </c>
      <c r="B480" s="25">
        <v>5</v>
      </c>
      <c r="C480" s="25">
        <v>3</v>
      </c>
      <c r="D480" s="25">
        <v>3</v>
      </c>
      <c r="E480" s="25">
        <v>3</v>
      </c>
      <c r="F480" s="25">
        <v>2</v>
      </c>
      <c r="G480" s="25">
        <v>2</v>
      </c>
      <c r="H480" s="25">
        <v>2</v>
      </c>
      <c r="I480" s="24">
        <v>0.4</v>
      </c>
      <c r="J480" s="24" t="s">
        <v>1233</v>
      </c>
      <c r="K480" s="24">
        <v>0</v>
      </c>
    </row>
    <row r="481" spans="1:11" hidden="1" x14ac:dyDescent="0.2">
      <c r="A481" s="22" t="s">
        <v>1010</v>
      </c>
      <c r="B481" s="25">
        <v>21</v>
      </c>
      <c r="C481" s="25">
        <v>14</v>
      </c>
      <c r="D481" s="25">
        <v>7</v>
      </c>
      <c r="E481" s="25">
        <v>6</v>
      </c>
      <c r="F481" s="25">
        <v>5</v>
      </c>
      <c r="G481" s="25">
        <v>5</v>
      </c>
      <c r="H481" s="25">
        <v>2</v>
      </c>
      <c r="I481" s="24">
        <v>9.5238095238095233E-2</v>
      </c>
      <c r="J481" s="24" t="s">
        <v>1233</v>
      </c>
      <c r="K481" s="24">
        <v>0</v>
      </c>
    </row>
    <row r="482" spans="1:11" hidden="1" x14ac:dyDescent="0.2">
      <c r="A482" s="22" t="s">
        <v>1011</v>
      </c>
      <c r="B482" s="25">
        <v>38</v>
      </c>
      <c r="C482" s="25">
        <v>26</v>
      </c>
      <c r="D482" s="25">
        <v>15</v>
      </c>
      <c r="E482" s="25">
        <v>14</v>
      </c>
      <c r="F482" s="25">
        <v>11</v>
      </c>
      <c r="G482" s="25">
        <v>11</v>
      </c>
      <c r="H482" s="25">
        <v>2</v>
      </c>
      <c r="I482" s="24">
        <v>5.2631578947368418E-2</v>
      </c>
      <c r="J482" s="24">
        <v>5.2631578947368418E-2</v>
      </c>
      <c r="K482" s="24">
        <v>0.5</v>
      </c>
    </row>
    <row r="483" spans="1:11" x14ac:dyDescent="0.2">
      <c r="A483" s="22" t="s">
        <v>1012</v>
      </c>
      <c r="B483" s="25">
        <v>7</v>
      </c>
      <c r="C483" s="25">
        <v>6</v>
      </c>
      <c r="D483" s="25">
        <v>5</v>
      </c>
      <c r="E483" s="25">
        <v>5</v>
      </c>
      <c r="F483" s="25">
        <v>5</v>
      </c>
      <c r="G483" s="25">
        <v>5</v>
      </c>
      <c r="H483" s="25">
        <v>2</v>
      </c>
      <c r="I483" s="24">
        <v>0.2857142857142857</v>
      </c>
      <c r="J483" s="24">
        <v>0.26315789473684209</v>
      </c>
      <c r="K483" s="24">
        <v>0.18421052631578946</v>
      </c>
    </row>
    <row r="484" spans="1:11" hidden="1" x14ac:dyDescent="0.2">
      <c r="A484" s="22" t="s">
        <v>666</v>
      </c>
      <c r="B484" s="25">
        <v>22</v>
      </c>
      <c r="C484" s="25">
        <v>18</v>
      </c>
      <c r="D484" s="25">
        <v>10</v>
      </c>
      <c r="E484" s="25">
        <v>8</v>
      </c>
      <c r="F484" s="25">
        <v>7</v>
      </c>
      <c r="G484" s="25">
        <v>6</v>
      </c>
      <c r="H484" s="25">
        <v>2</v>
      </c>
      <c r="I484" s="24">
        <v>9.0909090909090912E-2</v>
      </c>
      <c r="J484" s="24" t="s">
        <v>1233</v>
      </c>
      <c r="K484" s="24">
        <v>0</v>
      </c>
    </row>
    <row r="485" spans="1:11" x14ac:dyDescent="0.2">
      <c r="A485" s="22" t="s">
        <v>1013</v>
      </c>
      <c r="B485" s="25">
        <v>13</v>
      </c>
      <c r="C485" s="25">
        <v>8</v>
      </c>
      <c r="D485" s="25">
        <v>8</v>
      </c>
      <c r="E485" s="25">
        <v>8</v>
      </c>
      <c r="F485" s="25">
        <v>4</v>
      </c>
      <c r="G485" s="25">
        <v>4</v>
      </c>
      <c r="H485" s="25">
        <v>2</v>
      </c>
      <c r="I485" s="24">
        <v>0.15384615384615385</v>
      </c>
      <c r="J485" s="24">
        <v>6.6666666666666666E-2</v>
      </c>
      <c r="K485" s="24">
        <v>0.8666666666666667</v>
      </c>
    </row>
    <row r="486" spans="1:11" x14ac:dyDescent="0.2">
      <c r="A486" s="22" t="s">
        <v>1014</v>
      </c>
      <c r="B486" s="25">
        <v>6</v>
      </c>
      <c r="C486" s="25">
        <v>5</v>
      </c>
      <c r="D486" s="25">
        <v>3</v>
      </c>
      <c r="E486" s="25">
        <v>3</v>
      </c>
      <c r="F486" s="25">
        <v>3</v>
      </c>
      <c r="G486" s="25">
        <v>3</v>
      </c>
      <c r="H486" s="25">
        <v>2</v>
      </c>
      <c r="I486" s="24">
        <v>0.33333333333333331</v>
      </c>
      <c r="J486" s="24" t="s">
        <v>1233</v>
      </c>
      <c r="K486" s="24">
        <v>0</v>
      </c>
    </row>
    <row r="487" spans="1:11" hidden="1" x14ac:dyDescent="0.2">
      <c r="A487" s="22" t="s">
        <v>1015</v>
      </c>
      <c r="B487" s="25">
        <v>24</v>
      </c>
      <c r="C487" s="25">
        <v>16</v>
      </c>
      <c r="D487" s="25">
        <v>8</v>
      </c>
      <c r="E487" s="25">
        <v>7</v>
      </c>
      <c r="F487" s="25">
        <v>5</v>
      </c>
      <c r="G487" s="25">
        <v>4</v>
      </c>
      <c r="H487" s="25">
        <v>2</v>
      </c>
      <c r="I487" s="24">
        <v>8.3333333333333329E-2</v>
      </c>
      <c r="J487" s="24">
        <v>0.11</v>
      </c>
      <c r="K487" s="24">
        <v>0.24</v>
      </c>
    </row>
    <row r="488" spans="1:11" hidden="1" x14ac:dyDescent="0.2">
      <c r="A488" s="22" t="s">
        <v>1016</v>
      </c>
      <c r="B488" s="25">
        <v>26</v>
      </c>
      <c r="C488" s="25">
        <v>11</v>
      </c>
      <c r="D488" s="25">
        <v>8</v>
      </c>
      <c r="E488" s="25">
        <v>6</v>
      </c>
      <c r="F488" s="25">
        <v>5</v>
      </c>
      <c r="G488" s="25">
        <v>4</v>
      </c>
      <c r="H488" s="25">
        <v>2</v>
      </c>
      <c r="I488" s="24">
        <v>7.6923076923076927E-2</v>
      </c>
      <c r="J488" s="24">
        <v>0.14285714285714285</v>
      </c>
      <c r="K488" s="24">
        <v>3.7142857142857144</v>
      </c>
    </row>
    <row r="489" spans="1:11" x14ac:dyDescent="0.2">
      <c r="A489" s="22" t="s">
        <v>612</v>
      </c>
      <c r="B489" s="25">
        <v>16</v>
      </c>
      <c r="C489" s="25">
        <v>13</v>
      </c>
      <c r="D489" s="25">
        <v>11</v>
      </c>
      <c r="E489" s="25">
        <v>10</v>
      </c>
      <c r="F489" s="25">
        <v>9</v>
      </c>
      <c r="G489" s="25">
        <v>8</v>
      </c>
      <c r="H489" s="25">
        <v>2</v>
      </c>
      <c r="I489" s="24">
        <v>0.125</v>
      </c>
      <c r="J489" s="24">
        <v>0.22727272727272727</v>
      </c>
      <c r="K489" s="24">
        <v>0.24242424242424243</v>
      </c>
    </row>
    <row r="490" spans="1:11" x14ac:dyDescent="0.2">
      <c r="A490" s="22" t="s">
        <v>1017</v>
      </c>
      <c r="B490" s="25">
        <v>5</v>
      </c>
      <c r="C490" s="25">
        <v>3</v>
      </c>
      <c r="D490" s="25">
        <v>3</v>
      </c>
      <c r="E490" s="25">
        <v>3</v>
      </c>
      <c r="F490" s="25">
        <v>3</v>
      </c>
      <c r="G490" s="25">
        <v>3</v>
      </c>
      <c r="H490" s="25">
        <v>2</v>
      </c>
      <c r="I490" s="24">
        <v>0.4</v>
      </c>
      <c r="J490" s="24">
        <v>0.17948717948717949</v>
      </c>
      <c r="K490" s="24">
        <v>0.12820512820512819</v>
      </c>
    </row>
    <row r="491" spans="1:11" hidden="1" x14ac:dyDescent="0.2">
      <c r="A491" s="22" t="s">
        <v>1018</v>
      </c>
      <c r="B491" s="25">
        <v>20</v>
      </c>
      <c r="C491" s="25">
        <v>10</v>
      </c>
      <c r="D491" s="25">
        <v>8</v>
      </c>
      <c r="E491" s="25">
        <v>7</v>
      </c>
      <c r="F491" s="25">
        <v>6</v>
      </c>
      <c r="G491" s="25">
        <v>5</v>
      </c>
      <c r="H491" s="25">
        <v>2</v>
      </c>
      <c r="I491" s="24">
        <v>0.1</v>
      </c>
      <c r="J491" s="24">
        <v>0.05</v>
      </c>
      <c r="K491" s="24">
        <v>1</v>
      </c>
    </row>
    <row r="492" spans="1:11" hidden="1" x14ac:dyDescent="0.2">
      <c r="A492" s="22" t="s">
        <v>1019</v>
      </c>
      <c r="B492" s="25">
        <v>21</v>
      </c>
      <c r="C492" s="25">
        <v>16</v>
      </c>
      <c r="D492" s="25">
        <v>8</v>
      </c>
      <c r="E492" s="25">
        <v>8</v>
      </c>
      <c r="F492" s="25">
        <v>6</v>
      </c>
      <c r="G492" s="25">
        <v>6</v>
      </c>
      <c r="H492" s="25">
        <v>2</v>
      </c>
      <c r="I492" s="24">
        <v>9.5238095238095233E-2</v>
      </c>
      <c r="J492" s="24" t="s">
        <v>1233</v>
      </c>
      <c r="K492" s="24">
        <v>0</v>
      </c>
    </row>
    <row r="493" spans="1:11" x14ac:dyDescent="0.2">
      <c r="A493" s="22" t="s">
        <v>1020</v>
      </c>
      <c r="B493" s="25">
        <v>14</v>
      </c>
      <c r="C493" s="25">
        <v>7</v>
      </c>
      <c r="D493" s="25">
        <v>6</v>
      </c>
      <c r="E493" s="25">
        <v>6</v>
      </c>
      <c r="F493" s="25">
        <v>6</v>
      </c>
      <c r="G493" s="25">
        <v>6</v>
      </c>
      <c r="H493" s="25">
        <v>2</v>
      </c>
      <c r="I493" s="24">
        <v>0.14285714285714285</v>
      </c>
      <c r="J493" s="24">
        <v>0.18832973139857981</v>
      </c>
      <c r="K493" s="24">
        <v>4.3223217042297002E-3</v>
      </c>
    </row>
    <row r="494" spans="1:11" hidden="1" x14ac:dyDescent="0.2">
      <c r="A494" s="22" t="s">
        <v>324</v>
      </c>
      <c r="B494" s="25">
        <v>23</v>
      </c>
      <c r="C494" s="25">
        <v>13</v>
      </c>
      <c r="D494" s="25">
        <v>7</v>
      </c>
      <c r="E494" s="25">
        <v>6</v>
      </c>
      <c r="F494" s="25">
        <v>5</v>
      </c>
      <c r="G494" s="25">
        <v>5</v>
      </c>
      <c r="H494" s="25">
        <v>2</v>
      </c>
      <c r="I494" s="24">
        <v>8.6956521739130432E-2</v>
      </c>
      <c r="J494" s="24" t="s">
        <v>1233</v>
      </c>
      <c r="K494" s="24">
        <v>0</v>
      </c>
    </row>
    <row r="495" spans="1:11" hidden="1" x14ac:dyDescent="0.2">
      <c r="A495" s="22" t="s">
        <v>1021</v>
      </c>
      <c r="B495" s="25">
        <v>36</v>
      </c>
      <c r="C495" s="25">
        <v>22</v>
      </c>
      <c r="D495" s="25">
        <v>18</v>
      </c>
      <c r="E495" s="25">
        <v>17</v>
      </c>
      <c r="F495" s="25">
        <v>15</v>
      </c>
      <c r="G495" s="25">
        <v>14</v>
      </c>
      <c r="H495" s="25">
        <v>2</v>
      </c>
      <c r="I495" s="24">
        <v>5.5555555555555552E-2</v>
      </c>
      <c r="J495" s="24">
        <v>0.11764705882352941</v>
      </c>
      <c r="K495" s="24">
        <v>2.1176470588235294</v>
      </c>
    </row>
    <row r="496" spans="1:11" x14ac:dyDescent="0.2">
      <c r="A496" s="22" t="s">
        <v>1022</v>
      </c>
      <c r="B496" s="25">
        <v>5</v>
      </c>
      <c r="C496" s="25">
        <v>4</v>
      </c>
      <c r="D496" s="25">
        <v>2</v>
      </c>
      <c r="E496" s="25">
        <v>2</v>
      </c>
      <c r="F496" s="25">
        <v>2</v>
      </c>
      <c r="G496" s="25">
        <v>2</v>
      </c>
      <c r="H496" s="25">
        <v>2</v>
      </c>
      <c r="I496" s="24">
        <v>0.4</v>
      </c>
      <c r="J496" s="24">
        <v>0.19170075978959672</v>
      </c>
      <c r="K496" s="24">
        <v>2.9222676797194622E-3</v>
      </c>
    </row>
    <row r="497" spans="1:11" hidden="1" x14ac:dyDescent="0.2">
      <c r="A497" s="22" t="s">
        <v>1023</v>
      </c>
      <c r="B497" s="25">
        <v>36</v>
      </c>
      <c r="C497" s="25">
        <v>14</v>
      </c>
      <c r="D497" s="25">
        <v>9</v>
      </c>
      <c r="E497" s="25">
        <v>8</v>
      </c>
      <c r="F497" s="25">
        <v>5</v>
      </c>
      <c r="G497" s="25">
        <v>4</v>
      </c>
      <c r="H497" s="25">
        <v>2</v>
      </c>
      <c r="I497" s="24">
        <v>5.5555555555555552E-2</v>
      </c>
      <c r="J497" s="24">
        <v>0.13043478260869565</v>
      </c>
      <c r="K497" s="24">
        <v>1.5652173913043479</v>
      </c>
    </row>
    <row r="498" spans="1:11" hidden="1" x14ac:dyDescent="0.2">
      <c r="A498" s="22" t="s">
        <v>1024</v>
      </c>
      <c r="B498" s="25">
        <v>19</v>
      </c>
      <c r="C498" s="25">
        <v>12</v>
      </c>
      <c r="D498" s="25">
        <v>10</v>
      </c>
      <c r="E498" s="25">
        <v>9</v>
      </c>
      <c r="F498" s="25">
        <v>6</v>
      </c>
      <c r="G498" s="25">
        <v>4</v>
      </c>
      <c r="H498" s="25">
        <v>2</v>
      </c>
      <c r="I498" s="24">
        <v>0.10526315789473684</v>
      </c>
      <c r="J498" s="24">
        <v>0.125</v>
      </c>
      <c r="K498" s="24">
        <v>1.1875</v>
      </c>
    </row>
    <row r="499" spans="1:11" hidden="1" x14ac:dyDescent="0.2">
      <c r="A499" s="22" t="s">
        <v>1025</v>
      </c>
      <c r="B499" s="25">
        <v>29</v>
      </c>
      <c r="C499" s="25">
        <v>7</v>
      </c>
      <c r="D499" s="25">
        <v>6</v>
      </c>
      <c r="E499" s="25">
        <v>5</v>
      </c>
      <c r="F499" s="25">
        <v>5</v>
      </c>
      <c r="G499" s="25">
        <v>4</v>
      </c>
      <c r="H499" s="25">
        <v>2</v>
      </c>
      <c r="I499" s="24">
        <v>6.8965517241379309E-2</v>
      </c>
      <c r="J499" s="24" t="s">
        <v>1233</v>
      </c>
      <c r="K499" s="24">
        <v>0</v>
      </c>
    </row>
    <row r="500" spans="1:11" hidden="1" x14ac:dyDescent="0.2">
      <c r="A500" s="22" t="s">
        <v>754</v>
      </c>
      <c r="B500" s="25">
        <v>139</v>
      </c>
      <c r="C500" s="25">
        <v>43</v>
      </c>
      <c r="D500" s="25">
        <v>23</v>
      </c>
      <c r="E500" s="25">
        <v>21</v>
      </c>
      <c r="F500" s="25">
        <v>10</v>
      </c>
      <c r="G500" s="25">
        <v>10</v>
      </c>
      <c r="H500" s="25">
        <v>2</v>
      </c>
      <c r="I500" s="24">
        <v>1.4388489208633094E-2</v>
      </c>
      <c r="J500" s="24">
        <v>1.7857142857142856E-2</v>
      </c>
      <c r="K500" s="24">
        <v>2.4821428571428572</v>
      </c>
    </row>
    <row r="501" spans="1:11" hidden="1" x14ac:dyDescent="0.2">
      <c r="A501" s="22" t="s">
        <v>1026</v>
      </c>
      <c r="B501" s="25">
        <v>25</v>
      </c>
      <c r="C501" s="25">
        <v>12</v>
      </c>
      <c r="D501" s="25">
        <v>6</v>
      </c>
      <c r="E501" s="25">
        <v>6</v>
      </c>
      <c r="F501" s="25">
        <v>5</v>
      </c>
      <c r="G501" s="25">
        <v>5</v>
      </c>
      <c r="H501" s="25">
        <v>2</v>
      </c>
      <c r="I501" s="24">
        <v>0.08</v>
      </c>
      <c r="J501" s="24" t="s">
        <v>1233</v>
      </c>
      <c r="K501" s="24">
        <v>0</v>
      </c>
    </row>
    <row r="502" spans="1:11" hidden="1" x14ac:dyDescent="0.2">
      <c r="A502" s="22" t="s">
        <v>1027</v>
      </c>
      <c r="B502" s="25">
        <v>21</v>
      </c>
      <c r="C502" s="25">
        <v>13</v>
      </c>
      <c r="D502" s="25">
        <v>7</v>
      </c>
      <c r="E502" s="25">
        <v>6</v>
      </c>
      <c r="F502" s="25">
        <v>6</v>
      </c>
      <c r="G502" s="25">
        <v>5</v>
      </c>
      <c r="H502" s="25">
        <v>2</v>
      </c>
      <c r="I502" s="24">
        <v>9.5238095238095233E-2</v>
      </c>
      <c r="J502" s="24" t="s">
        <v>1233</v>
      </c>
      <c r="K502" s="24">
        <v>0</v>
      </c>
    </row>
    <row r="503" spans="1:11" x14ac:dyDescent="0.2">
      <c r="A503" s="22" t="s">
        <v>1028</v>
      </c>
      <c r="B503" s="25">
        <v>9</v>
      </c>
      <c r="C503" s="25">
        <v>7</v>
      </c>
      <c r="D503" s="25">
        <v>4</v>
      </c>
      <c r="E503" s="25">
        <v>3</v>
      </c>
      <c r="F503" s="25">
        <v>3</v>
      </c>
      <c r="G503" s="25">
        <v>3</v>
      </c>
      <c r="H503" s="25">
        <v>2</v>
      </c>
      <c r="I503" s="24">
        <v>0.22222222222222221</v>
      </c>
      <c r="J503" s="24" t="s">
        <v>1233</v>
      </c>
      <c r="K503" s="24">
        <v>0</v>
      </c>
    </row>
    <row r="504" spans="1:11" hidden="1" x14ac:dyDescent="0.2">
      <c r="A504" s="22" t="s">
        <v>1029</v>
      </c>
      <c r="B504" s="25">
        <v>22</v>
      </c>
      <c r="C504" s="25">
        <v>21</v>
      </c>
      <c r="D504" s="25">
        <v>11</v>
      </c>
      <c r="E504" s="25">
        <v>8</v>
      </c>
      <c r="F504" s="25">
        <v>6</v>
      </c>
      <c r="G504" s="25">
        <v>6</v>
      </c>
      <c r="H504" s="25">
        <v>2</v>
      </c>
      <c r="I504" s="24">
        <v>9.0909090909090912E-2</v>
      </c>
      <c r="J504" s="24" t="s">
        <v>1233</v>
      </c>
      <c r="K504" s="24">
        <v>0</v>
      </c>
    </row>
    <row r="505" spans="1:11" hidden="1" x14ac:dyDescent="0.2">
      <c r="A505" s="22" t="s">
        <v>1030</v>
      </c>
      <c r="B505" s="25">
        <v>35</v>
      </c>
      <c r="C505" s="25">
        <v>15</v>
      </c>
      <c r="D505" s="25">
        <v>9</v>
      </c>
      <c r="E505" s="25">
        <v>5</v>
      </c>
      <c r="F505" s="25">
        <v>4</v>
      </c>
      <c r="G505" s="25">
        <v>4</v>
      </c>
      <c r="H505" s="25">
        <v>2</v>
      </c>
      <c r="I505" s="24">
        <v>5.7142857142857141E-2</v>
      </c>
      <c r="J505" s="24">
        <v>3.8461538461538464E-2</v>
      </c>
      <c r="K505" s="24">
        <v>1.3461538461538463</v>
      </c>
    </row>
    <row r="506" spans="1:11" hidden="1" x14ac:dyDescent="0.2">
      <c r="A506" s="22" t="s">
        <v>1031</v>
      </c>
      <c r="B506" s="25">
        <v>70</v>
      </c>
      <c r="C506" s="25">
        <v>42</v>
      </c>
      <c r="D506" s="25">
        <v>29</v>
      </c>
      <c r="E506" s="25">
        <v>24</v>
      </c>
      <c r="F506" s="25">
        <v>17</v>
      </c>
      <c r="G506" s="25">
        <v>14</v>
      </c>
      <c r="H506" s="25">
        <v>2</v>
      </c>
      <c r="I506" s="24">
        <v>2.8571428571428571E-2</v>
      </c>
      <c r="J506" s="24">
        <v>5.8823529411764705E-2</v>
      </c>
      <c r="K506" s="24">
        <v>2.0588235294117645</v>
      </c>
    </row>
    <row r="507" spans="1:11" hidden="1" x14ac:dyDescent="0.2">
      <c r="A507" s="22" t="s">
        <v>1032</v>
      </c>
      <c r="B507" s="25">
        <v>53</v>
      </c>
      <c r="C507" s="25">
        <v>24</v>
      </c>
      <c r="D507" s="25">
        <v>15</v>
      </c>
      <c r="E507" s="25">
        <v>7</v>
      </c>
      <c r="F507" s="25">
        <v>6</v>
      </c>
      <c r="G507" s="25">
        <v>6</v>
      </c>
      <c r="H507" s="25">
        <v>2</v>
      </c>
      <c r="I507" s="24">
        <v>3.7735849056603772E-2</v>
      </c>
      <c r="J507" s="24" t="s">
        <v>1233</v>
      </c>
      <c r="K507" s="24">
        <v>0</v>
      </c>
    </row>
    <row r="508" spans="1:11" hidden="1" x14ac:dyDescent="0.2">
      <c r="A508" s="22" t="s">
        <v>1033</v>
      </c>
      <c r="B508" s="25">
        <v>23</v>
      </c>
      <c r="C508" s="25">
        <v>12</v>
      </c>
      <c r="D508" s="25">
        <v>9</v>
      </c>
      <c r="E508" s="25">
        <v>8</v>
      </c>
      <c r="F508" s="25">
        <v>5</v>
      </c>
      <c r="G508" s="25">
        <v>5</v>
      </c>
      <c r="H508" s="25">
        <v>2</v>
      </c>
      <c r="I508" s="24">
        <v>8.6956521739130432E-2</v>
      </c>
      <c r="J508" s="24">
        <v>5.8823529411764705E-2</v>
      </c>
      <c r="K508" s="24">
        <v>1.3529411764705883</v>
      </c>
    </row>
    <row r="509" spans="1:11" hidden="1" x14ac:dyDescent="0.2">
      <c r="A509" s="22" t="s">
        <v>1034</v>
      </c>
      <c r="B509" s="25">
        <v>43</v>
      </c>
      <c r="C509" s="25">
        <v>17</v>
      </c>
      <c r="D509" s="25">
        <v>12</v>
      </c>
      <c r="E509" s="25">
        <v>11</v>
      </c>
      <c r="F509" s="25">
        <v>7</v>
      </c>
      <c r="G509" s="25">
        <v>6</v>
      </c>
      <c r="H509" s="25">
        <v>2</v>
      </c>
      <c r="I509" s="24">
        <v>4.6511627906976744E-2</v>
      </c>
      <c r="J509" s="24">
        <v>6.1224489795918366E-2</v>
      </c>
      <c r="K509" s="24">
        <v>0.87755102040816324</v>
      </c>
    </row>
    <row r="510" spans="1:11" hidden="1" x14ac:dyDescent="0.2">
      <c r="A510" s="22" t="s">
        <v>1035</v>
      </c>
      <c r="B510" s="25">
        <v>20</v>
      </c>
      <c r="C510" s="25">
        <v>13</v>
      </c>
      <c r="D510" s="25">
        <v>12</v>
      </c>
      <c r="E510" s="25">
        <v>10</v>
      </c>
      <c r="F510" s="25">
        <v>8</v>
      </c>
      <c r="G510" s="25">
        <v>8</v>
      </c>
      <c r="H510" s="25">
        <v>2</v>
      </c>
      <c r="I510" s="24">
        <v>0.1</v>
      </c>
      <c r="J510" s="24">
        <v>4.4444444444444446E-2</v>
      </c>
      <c r="K510" s="24">
        <v>0.44444444444444442</v>
      </c>
    </row>
    <row r="511" spans="1:11" hidden="1" x14ac:dyDescent="0.2">
      <c r="A511" s="22" t="s">
        <v>1036</v>
      </c>
      <c r="B511" s="25">
        <v>19</v>
      </c>
      <c r="C511" s="25">
        <v>13</v>
      </c>
      <c r="D511" s="25">
        <v>9</v>
      </c>
      <c r="E511" s="25">
        <v>7</v>
      </c>
      <c r="F511" s="25">
        <v>6</v>
      </c>
      <c r="G511" s="25">
        <v>6</v>
      </c>
      <c r="H511" s="25">
        <v>2</v>
      </c>
      <c r="I511" s="24">
        <v>0.10526315789473684</v>
      </c>
      <c r="J511" s="24" t="s">
        <v>1233</v>
      </c>
      <c r="K511" s="24">
        <v>0</v>
      </c>
    </row>
    <row r="512" spans="1:11" x14ac:dyDescent="0.2">
      <c r="A512" s="22" t="s">
        <v>1037</v>
      </c>
      <c r="B512" s="25">
        <v>5</v>
      </c>
      <c r="C512" s="25">
        <v>5</v>
      </c>
      <c r="D512" s="25">
        <v>3</v>
      </c>
      <c r="E512" s="25">
        <v>3</v>
      </c>
      <c r="F512" s="25">
        <v>2</v>
      </c>
      <c r="G512" s="25">
        <v>2</v>
      </c>
      <c r="H512" s="25">
        <v>2</v>
      </c>
      <c r="I512" s="24">
        <v>0.4</v>
      </c>
      <c r="J512" s="24" t="s">
        <v>1233</v>
      </c>
      <c r="K512" s="24">
        <v>0</v>
      </c>
    </row>
    <row r="513" spans="1:11" hidden="1" x14ac:dyDescent="0.2">
      <c r="A513" s="22" t="s">
        <v>1038</v>
      </c>
      <c r="B513" s="25">
        <v>45</v>
      </c>
      <c r="C513" s="25">
        <v>25</v>
      </c>
      <c r="D513" s="25">
        <v>12</v>
      </c>
      <c r="E513" s="25">
        <v>10</v>
      </c>
      <c r="F513" s="25">
        <v>8</v>
      </c>
      <c r="G513" s="25">
        <v>8</v>
      </c>
      <c r="H513" s="25">
        <v>2</v>
      </c>
      <c r="I513" s="24">
        <v>4.4444444444444446E-2</v>
      </c>
      <c r="J513" s="24">
        <v>8.5714285714285715E-2</v>
      </c>
      <c r="K513" s="24">
        <v>1.2857142857142858</v>
      </c>
    </row>
    <row r="514" spans="1:11" x14ac:dyDescent="0.2">
      <c r="A514" s="22" t="s">
        <v>1039</v>
      </c>
      <c r="B514" s="25">
        <v>5</v>
      </c>
      <c r="C514" s="25">
        <v>3</v>
      </c>
      <c r="D514" s="25">
        <v>3</v>
      </c>
      <c r="E514" s="25">
        <v>3</v>
      </c>
      <c r="F514" s="25">
        <v>2</v>
      </c>
      <c r="G514" s="25">
        <v>2</v>
      </c>
      <c r="H514" s="25">
        <v>2</v>
      </c>
      <c r="I514" s="24">
        <v>0.4</v>
      </c>
      <c r="J514" s="24" t="s">
        <v>1233</v>
      </c>
      <c r="K514" s="24">
        <v>0</v>
      </c>
    </row>
    <row r="515" spans="1:11" x14ac:dyDescent="0.2">
      <c r="A515" s="22" t="s">
        <v>1040</v>
      </c>
      <c r="B515" s="25">
        <v>7</v>
      </c>
      <c r="C515" s="25">
        <v>6</v>
      </c>
      <c r="D515" s="25">
        <v>4</v>
      </c>
      <c r="E515" s="25">
        <v>3</v>
      </c>
      <c r="F515" s="25">
        <v>3</v>
      </c>
      <c r="G515" s="25">
        <v>2</v>
      </c>
      <c r="H515" s="25">
        <v>2</v>
      </c>
      <c r="I515" s="24">
        <v>0.2857142857142857</v>
      </c>
      <c r="J515" s="24">
        <v>0.14285714285714285</v>
      </c>
      <c r="K515" s="24">
        <v>1</v>
      </c>
    </row>
    <row r="516" spans="1:11" x14ac:dyDescent="0.2">
      <c r="A516" s="22" t="s">
        <v>1041</v>
      </c>
      <c r="B516" s="25">
        <v>11</v>
      </c>
      <c r="C516" s="25">
        <v>10</v>
      </c>
      <c r="D516" s="25">
        <v>7</v>
      </c>
      <c r="E516" s="25">
        <v>6</v>
      </c>
      <c r="F516" s="25">
        <v>5</v>
      </c>
      <c r="G516" s="25">
        <v>5</v>
      </c>
      <c r="H516" s="25">
        <v>2</v>
      </c>
      <c r="I516" s="24">
        <v>0.18181818181818182</v>
      </c>
      <c r="J516" s="24">
        <v>0.27272727272727271</v>
      </c>
      <c r="K516" s="24">
        <v>1</v>
      </c>
    </row>
    <row r="517" spans="1:11" hidden="1" x14ac:dyDescent="0.2">
      <c r="A517" s="22" t="s">
        <v>1042</v>
      </c>
      <c r="B517" s="25">
        <v>31</v>
      </c>
      <c r="C517" s="25">
        <v>24</v>
      </c>
      <c r="D517" s="25">
        <v>12</v>
      </c>
      <c r="E517" s="25">
        <v>9</v>
      </c>
      <c r="F517" s="25">
        <v>6</v>
      </c>
      <c r="G517" s="25">
        <v>6</v>
      </c>
      <c r="H517" s="25">
        <v>2</v>
      </c>
      <c r="I517" s="24">
        <v>6.4516129032258063E-2</v>
      </c>
      <c r="J517" s="24" t="s">
        <v>1233</v>
      </c>
      <c r="K517" s="24">
        <v>0</v>
      </c>
    </row>
    <row r="518" spans="1:11" x14ac:dyDescent="0.2">
      <c r="A518" s="22" t="s">
        <v>1043</v>
      </c>
      <c r="B518" s="25">
        <v>7</v>
      </c>
      <c r="C518" s="25">
        <v>4</v>
      </c>
      <c r="D518" s="25">
        <v>2</v>
      </c>
      <c r="E518" s="25">
        <v>2</v>
      </c>
      <c r="F518" s="25">
        <v>2</v>
      </c>
      <c r="G518" s="25">
        <v>2</v>
      </c>
      <c r="H518" s="25">
        <v>2</v>
      </c>
      <c r="I518" s="24">
        <v>0.2857142857142857</v>
      </c>
      <c r="J518" s="24" t="s">
        <v>1233</v>
      </c>
      <c r="K518" s="24">
        <v>0</v>
      </c>
    </row>
    <row r="519" spans="1:11" hidden="1" x14ac:dyDescent="0.2">
      <c r="A519" s="22" t="s">
        <v>1044</v>
      </c>
      <c r="B519" s="25">
        <v>21</v>
      </c>
      <c r="C519" s="25">
        <v>15</v>
      </c>
      <c r="D519" s="25">
        <v>8</v>
      </c>
      <c r="E519" s="25">
        <v>7</v>
      </c>
      <c r="F519" s="25">
        <v>4</v>
      </c>
      <c r="G519" s="25">
        <v>4</v>
      </c>
      <c r="H519" s="25">
        <v>2</v>
      </c>
      <c r="I519" s="24">
        <v>9.5238095238095233E-2</v>
      </c>
      <c r="J519" s="24">
        <v>3.3333333333333333E-2</v>
      </c>
      <c r="K519" s="24">
        <v>0.7</v>
      </c>
    </row>
    <row r="520" spans="1:11" hidden="1" x14ac:dyDescent="0.2">
      <c r="A520" s="22" t="s">
        <v>1045</v>
      </c>
      <c r="B520" s="25">
        <v>44</v>
      </c>
      <c r="C520" s="25">
        <v>33</v>
      </c>
      <c r="D520" s="25">
        <v>24</v>
      </c>
      <c r="E520" s="25">
        <v>18</v>
      </c>
      <c r="F520" s="25">
        <v>13</v>
      </c>
      <c r="G520" s="25">
        <v>11</v>
      </c>
      <c r="H520" s="25">
        <v>2</v>
      </c>
      <c r="I520" s="24">
        <v>4.5454545454545456E-2</v>
      </c>
      <c r="J520" s="24">
        <v>5.7142857142857141E-2</v>
      </c>
      <c r="K520" s="24">
        <v>1.2571428571428571</v>
      </c>
    </row>
    <row r="521" spans="1:11" x14ac:dyDescent="0.2">
      <c r="A521" s="22" t="s">
        <v>1046</v>
      </c>
      <c r="B521" s="25">
        <v>6</v>
      </c>
      <c r="C521" s="25">
        <v>6</v>
      </c>
      <c r="D521" s="25">
        <v>4</v>
      </c>
      <c r="E521" s="25">
        <v>4</v>
      </c>
      <c r="F521" s="25">
        <v>2</v>
      </c>
      <c r="G521" s="25">
        <v>2</v>
      </c>
      <c r="H521" s="25">
        <v>2</v>
      </c>
      <c r="I521" s="24">
        <v>0.33333333333333331</v>
      </c>
      <c r="J521" s="24" t="s">
        <v>1233</v>
      </c>
      <c r="K521" s="24">
        <v>0</v>
      </c>
    </row>
    <row r="522" spans="1:11" hidden="1" x14ac:dyDescent="0.2">
      <c r="A522" s="22" t="s">
        <v>1047</v>
      </c>
      <c r="B522" s="25">
        <v>45</v>
      </c>
      <c r="C522" s="25">
        <v>35</v>
      </c>
      <c r="D522" s="25">
        <v>28</v>
      </c>
      <c r="E522" s="25">
        <v>23</v>
      </c>
      <c r="F522" s="25">
        <v>19</v>
      </c>
      <c r="G522" s="25">
        <v>17</v>
      </c>
      <c r="H522" s="25">
        <v>2</v>
      </c>
      <c r="I522" s="24">
        <v>4.4444444444444446E-2</v>
      </c>
      <c r="J522" s="24" t="s">
        <v>1233</v>
      </c>
      <c r="K522" s="24">
        <v>0</v>
      </c>
    </row>
    <row r="523" spans="1:11" x14ac:dyDescent="0.2">
      <c r="A523" s="22" t="s">
        <v>562</v>
      </c>
      <c r="B523" s="25">
        <v>13</v>
      </c>
      <c r="C523" s="25">
        <v>9</v>
      </c>
      <c r="D523" s="25">
        <v>6</v>
      </c>
      <c r="E523" s="25">
        <v>5</v>
      </c>
      <c r="F523" s="25">
        <v>4</v>
      </c>
      <c r="G523" s="25">
        <v>4</v>
      </c>
      <c r="H523" s="25">
        <v>2</v>
      </c>
      <c r="I523" s="24">
        <v>0.15384615384615385</v>
      </c>
      <c r="J523" s="24" t="s">
        <v>1233</v>
      </c>
      <c r="K523" s="24">
        <v>0</v>
      </c>
    </row>
    <row r="524" spans="1:11" hidden="1" x14ac:dyDescent="0.2">
      <c r="A524" s="22" t="s">
        <v>1048</v>
      </c>
      <c r="B524" s="25">
        <v>36</v>
      </c>
      <c r="C524" s="25">
        <v>20</v>
      </c>
      <c r="D524" s="25">
        <v>12</v>
      </c>
      <c r="E524" s="25">
        <v>10</v>
      </c>
      <c r="F524" s="25">
        <v>9</v>
      </c>
      <c r="G524" s="25">
        <v>8</v>
      </c>
      <c r="H524" s="25">
        <v>2</v>
      </c>
      <c r="I524" s="24">
        <v>5.5555555555555552E-2</v>
      </c>
      <c r="J524" s="24">
        <v>5.2631578947368418E-2</v>
      </c>
      <c r="K524" s="24">
        <v>1.8947368421052631</v>
      </c>
    </row>
    <row r="525" spans="1:11" hidden="1" x14ac:dyDescent="0.2">
      <c r="A525" s="22" t="s">
        <v>1049</v>
      </c>
      <c r="B525" s="25">
        <v>40</v>
      </c>
      <c r="C525" s="25">
        <v>17</v>
      </c>
      <c r="D525" s="25">
        <v>10</v>
      </c>
      <c r="E525" s="25">
        <v>7</v>
      </c>
      <c r="F525" s="25">
        <v>5</v>
      </c>
      <c r="G525" s="25">
        <v>4</v>
      </c>
      <c r="H525" s="25">
        <v>2</v>
      </c>
      <c r="I525" s="24">
        <v>0.05</v>
      </c>
      <c r="J525" s="24" t="s">
        <v>1233</v>
      </c>
      <c r="K525" s="24">
        <v>0</v>
      </c>
    </row>
    <row r="526" spans="1:11" hidden="1" x14ac:dyDescent="0.2">
      <c r="A526" s="22" t="s">
        <v>1050</v>
      </c>
      <c r="B526" s="25">
        <v>46</v>
      </c>
      <c r="C526" s="25">
        <v>21</v>
      </c>
      <c r="D526" s="25">
        <v>12</v>
      </c>
      <c r="E526" s="25">
        <v>12</v>
      </c>
      <c r="F526" s="25">
        <v>10</v>
      </c>
      <c r="G526" s="25">
        <v>10</v>
      </c>
      <c r="H526" s="25">
        <v>2</v>
      </c>
      <c r="I526" s="24">
        <v>4.3478260869565216E-2</v>
      </c>
      <c r="J526" s="24">
        <v>0.12121212121212122</v>
      </c>
      <c r="K526" s="24">
        <v>1.393939393939394</v>
      </c>
    </row>
    <row r="527" spans="1:11" hidden="1" x14ac:dyDescent="0.2">
      <c r="A527" s="22" t="s">
        <v>1051</v>
      </c>
      <c r="B527" s="25">
        <v>22</v>
      </c>
      <c r="C527" s="25">
        <v>9</v>
      </c>
      <c r="D527" s="25">
        <v>4</v>
      </c>
      <c r="E527" s="25">
        <v>4</v>
      </c>
      <c r="F527" s="25">
        <v>4</v>
      </c>
      <c r="G527" s="25">
        <v>3</v>
      </c>
      <c r="H527" s="25">
        <v>2</v>
      </c>
      <c r="I527" s="24">
        <v>9.0909090909090912E-2</v>
      </c>
      <c r="J527" s="24">
        <v>0.1111111111111111</v>
      </c>
      <c r="K527" s="24">
        <v>2.4444444444444446</v>
      </c>
    </row>
    <row r="528" spans="1:11" hidden="1" x14ac:dyDescent="0.2">
      <c r="A528" s="22" t="s">
        <v>1052</v>
      </c>
      <c r="B528" s="25">
        <v>20</v>
      </c>
      <c r="C528" s="25">
        <v>18</v>
      </c>
      <c r="D528" s="25">
        <v>12</v>
      </c>
      <c r="E528" s="25">
        <v>10</v>
      </c>
      <c r="F528" s="25">
        <v>6</v>
      </c>
      <c r="G528" s="25">
        <v>6</v>
      </c>
      <c r="H528" s="25">
        <v>2</v>
      </c>
      <c r="I528" s="24">
        <v>0.1</v>
      </c>
      <c r="J528" s="24" t="s">
        <v>1233</v>
      </c>
      <c r="K528" s="24">
        <v>0</v>
      </c>
    </row>
    <row r="529" spans="1:11" hidden="1" x14ac:dyDescent="0.2">
      <c r="A529" s="22" t="s">
        <v>1053</v>
      </c>
      <c r="B529" s="25">
        <v>30</v>
      </c>
      <c r="C529" s="25">
        <v>14</v>
      </c>
      <c r="D529" s="25">
        <v>10</v>
      </c>
      <c r="E529" s="25">
        <v>6</v>
      </c>
      <c r="F529" s="25">
        <v>3</v>
      </c>
      <c r="G529" s="25">
        <v>3</v>
      </c>
      <c r="H529" s="25">
        <v>2</v>
      </c>
      <c r="I529" s="24">
        <v>6.6666666666666666E-2</v>
      </c>
      <c r="J529" s="24">
        <v>6.25E-2</v>
      </c>
      <c r="K529" s="24">
        <v>1.875</v>
      </c>
    </row>
    <row r="530" spans="1:11" x14ac:dyDescent="0.2">
      <c r="A530" s="22" t="s">
        <v>1054</v>
      </c>
      <c r="B530" s="25">
        <v>15</v>
      </c>
      <c r="C530" s="25">
        <v>11</v>
      </c>
      <c r="D530" s="25">
        <v>3</v>
      </c>
      <c r="E530" s="25">
        <v>3</v>
      </c>
      <c r="F530" s="25">
        <v>3</v>
      </c>
      <c r="G530" s="25">
        <v>3</v>
      </c>
      <c r="H530" s="25">
        <v>2</v>
      </c>
      <c r="I530" s="24">
        <v>0.13333333333333333</v>
      </c>
      <c r="J530" s="24" t="s">
        <v>1233</v>
      </c>
      <c r="K530" s="24">
        <v>0</v>
      </c>
    </row>
    <row r="531" spans="1:11" hidden="1" x14ac:dyDescent="0.2">
      <c r="A531" s="22" t="s">
        <v>1055</v>
      </c>
      <c r="B531" s="25">
        <v>39</v>
      </c>
      <c r="C531" s="25">
        <v>21</v>
      </c>
      <c r="D531" s="25">
        <v>15</v>
      </c>
      <c r="E531" s="25">
        <v>12</v>
      </c>
      <c r="F531" s="25">
        <v>10</v>
      </c>
      <c r="G531" s="25">
        <v>10</v>
      </c>
      <c r="H531" s="25">
        <v>2</v>
      </c>
      <c r="I531" s="24">
        <v>5.128205128205128E-2</v>
      </c>
      <c r="J531" s="24" t="s">
        <v>1233</v>
      </c>
      <c r="K531" s="24">
        <v>0</v>
      </c>
    </row>
    <row r="532" spans="1:11" hidden="1" x14ac:dyDescent="0.2">
      <c r="A532" s="22" t="s">
        <v>1056</v>
      </c>
      <c r="B532" s="25">
        <v>24</v>
      </c>
      <c r="C532" s="25">
        <v>17</v>
      </c>
      <c r="D532" s="25">
        <v>10</v>
      </c>
      <c r="E532" s="25">
        <v>8</v>
      </c>
      <c r="F532" s="25">
        <v>5</v>
      </c>
      <c r="G532" s="25">
        <v>4</v>
      </c>
      <c r="H532" s="25">
        <v>2</v>
      </c>
      <c r="I532" s="24">
        <v>8.3333333333333329E-2</v>
      </c>
      <c r="J532" s="24" t="s">
        <v>1233</v>
      </c>
      <c r="K532" s="24">
        <v>0</v>
      </c>
    </row>
    <row r="533" spans="1:11" hidden="1" x14ac:dyDescent="0.2">
      <c r="A533" s="22" t="s">
        <v>1057</v>
      </c>
      <c r="B533" s="25">
        <v>39</v>
      </c>
      <c r="C533" s="25">
        <v>29</v>
      </c>
      <c r="D533" s="25">
        <v>19</v>
      </c>
      <c r="E533" s="25">
        <v>15</v>
      </c>
      <c r="F533" s="25">
        <v>12</v>
      </c>
      <c r="G533" s="25">
        <v>12</v>
      </c>
      <c r="H533" s="25">
        <v>2</v>
      </c>
      <c r="I533" s="24">
        <v>5.128205128205128E-2</v>
      </c>
      <c r="J533" s="24" t="s">
        <v>1233</v>
      </c>
      <c r="K533" s="24">
        <v>0</v>
      </c>
    </row>
    <row r="534" spans="1:11" hidden="1" x14ac:dyDescent="0.2">
      <c r="A534" s="22" t="s">
        <v>1058</v>
      </c>
      <c r="B534" s="25">
        <v>27</v>
      </c>
      <c r="C534" s="25">
        <v>14</v>
      </c>
      <c r="D534" s="25">
        <v>7</v>
      </c>
      <c r="E534" s="25">
        <v>7</v>
      </c>
      <c r="F534" s="25">
        <v>5</v>
      </c>
      <c r="G534" s="25">
        <v>5</v>
      </c>
      <c r="H534" s="25">
        <v>2</v>
      </c>
      <c r="I534" s="24">
        <v>7.407407407407407E-2</v>
      </c>
      <c r="J534" s="24">
        <v>0.10526315789473684</v>
      </c>
      <c r="K534" s="24">
        <v>1.4210526315789473</v>
      </c>
    </row>
    <row r="535" spans="1:11" hidden="1" x14ac:dyDescent="0.2">
      <c r="A535" s="22" t="s">
        <v>526</v>
      </c>
      <c r="B535" s="25">
        <v>26</v>
      </c>
      <c r="C535" s="25">
        <v>22</v>
      </c>
      <c r="D535" s="25">
        <v>14</v>
      </c>
      <c r="E535" s="25">
        <v>11</v>
      </c>
      <c r="F535" s="25">
        <v>7</v>
      </c>
      <c r="G535" s="25">
        <v>7</v>
      </c>
      <c r="H535" s="25">
        <v>2</v>
      </c>
      <c r="I535" s="24">
        <v>7.6923076923076927E-2</v>
      </c>
      <c r="J535" s="24" t="s">
        <v>1233</v>
      </c>
      <c r="K535" s="24">
        <v>0</v>
      </c>
    </row>
    <row r="536" spans="1:11" x14ac:dyDescent="0.2">
      <c r="A536" s="22" t="s">
        <v>1059</v>
      </c>
      <c r="B536" s="25">
        <v>3</v>
      </c>
      <c r="C536" s="25">
        <v>2</v>
      </c>
      <c r="D536" s="25">
        <v>2</v>
      </c>
      <c r="E536" s="25">
        <v>2</v>
      </c>
      <c r="F536" s="25">
        <v>2</v>
      </c>
      <c r="G536" s="25">
        <v>2</v>
      </c>
      <c r="H536" s="25">
        <v>2</v>
      </c>
      <c r="I536" s="24">
        <v>0.66666666666666663</v>
      </c>
      <c r="J536" s="24" t="s">
        <v>1233</v>
      </c>
      <c r="K536" s="24">
        <v>0</v>
      </c>
    </row>
    <row r="537" spans="1:11" hidden="1" x14ac:dyDescent="0.2">
      <c r="A537" s="22" t="s">
        <v>1060</v>
      </c>
      <c r="B537" s="25">
        <v>20</v>
      </c>
      <c r="C537" s="25">
        <v>9</v>
      </c>
      <c r="D537" s="25">
        <v>6</v>
      </c>
      <c r="E537" s="25">
        <v>6</v>
      </c>
      <c r="F537" s="25">
        <v>6</v>
      </c>
      <c r="G537" s="25">
        <v>5</v>
      </c>
      <c r="H537" s="25">
        <v>2</v>
      </c>
      <c r="I537" s="24">
        <v>0.1</v>
      </c>
      <c r="J537" s="24" t="s">
        <v>1233</v>
      </c>
      <c r="K537" s="24">
        <v>0</v>
      </c>
    </row>
    <row r="538" spans="1:11" x14ac:dyDescent="0.2">
      <c r="A538" s="22" t="s">
        <v>1061</v>
      </c>
      <c r="B538" s="25">
        <v>9</v>
      </c>
      <c r="C538" s="25">
        <v>6</v>
      </c>
      <c r="D538" s="25">
        <v>4</v>
      </c>
      <c r="E538" s="25">
        <v>3</v>
      </c>
      <c r="F538" s="25">
        <v>2</v>
      </c>
      <c r="G538" s="25">
        <v>2</v>
      </c>
      <c r="H538" s="25">
        <v>2</v>
      </c>
      <c r="I538" s="24">
        <v>0.22222222222222221</v>
      </c>
      <c r="J538" s="24" t="s">
        <v>1233</v>
      </c>
      <c r="K538" s="24">
        <v>0</v>
      </c>
    </row>
    <row r="539" spans="1:11" x14ac:dyDescent="0.2">
      <c r="A539" s="22" t="s">
        <v>1062</v>
      </c>
      <c r="B539" s="25">
        <v>12</v>
      </c>
      <c r="C539" s="25">
        <v>6</v>
      </c>
      <c r="D539" s="25">
        <v>6</v>
      </c>
      <c r="E539" s="25">
        <v>4</v>
      </c>
      <c r="F539" s="25">
        <v>3</v>
      </c>
      <c r="G539" s="25">
        <v>3</v>
      </c>
      <c r="H539" s="25">
        <v>2</v>
      </c>
      <c r="I539" s="24">
        <v>0.16666666666666666</v>
      </c>
      <c r="J539" s="24">
        <v>7.1428571428571425E-2</v>
      </c>
      <c r="K539" s="24">
        <v>0.8571428571428571</v>
      </c>
    </row>
    <row r="540" spans="1:11" hidden="1" x14ac:dyDescent="0.2">
      <c r="A540" s="22" t="s">
        <v>1063</v>
      </c>
      <c r="B540" s="25">
        <v>29</v>
      </c>
      <c r="C540" s="25">
        <v>14</v>
      </c>
      <c r="D540" s="25">
        <v>5</v>
      </c>
      <c r="E540" s="25">
        <v>4</v>
      </c>
      <c r="F540" s="25">
        <v>4</v>
      </c>
      <c r="G540" s="25">
        <v>3</v>
      </c>
      <c r="H540" s="25">
        <v>2</v>
      </c>
      <c r="I540" s="24">
        <v>6.8965517241379309E-2</v>
      </c>
      <c r="J540" s="24">
        <v>0.125</v>
      </c>
      <c r="K540" s="24">
        <v>3.625</v>
      </c>
    </row>
    <row r="541" spans="1:11" hidden="1" x14ac:dyDescent="0.2">
      <c r="A541" s="22" t="s">
        <v>1064</v>
      </c>
      <c r="B541" s="25">
        <v>36</v>
      </c>
      <c r="C541" s="25">
        <v>25</v>
      </c>
      <c r="D541" s="25">
        <v>19</v>
      </c>
      <c r="E541" s="25">
        <v>13</v>
      </c>
      <c r="F541" s="25">
        <v>7</v>
      </c>
      <c r="G541" s="25">
        <v>7</v>
      </c>
      <c r="H541" s="25">
        <v>2</v>
      </c>
      <c r="I541" s="24">
        <v>5.5555555555555552E-2</v>
      </c>
      <c r="J541" s="24" t="s">
        <v>1233</v>
      </c>
      <c r="K541" s="24">
        <v>0</v>
      </c>
    </row>
    <row r="542" spans="1:11" x14ac:dyDescent="0.2">
      <c r="A542" s="22" t="s">
        <v>1065</v>
      </c>
      <c r="B542" s="25">
        <v>9</v>
      </c>
      <c r="C542" s="25">
        <v>7</v>
      </c>
      <c r="D542" s="25">
        <v>5</v>
      </c>
      <c r="E542" s="25">
        <v>5</v>
      </c>
      <c r="F542" s="25">
        <v>4</v>
      </c>
      <c r="G542" s="25">
        <v>4</v>
      </c>
      <c r="H542" s="25">
        <v>2</v>
      </c>
      <c r="I542" s="24">
        <v>0.22222222222222221</v>
      </c>
      <c r="J542" s="24" t="s">
        <v>1233</v>
      </c>
      <c r="K542" s="24">
        <v>0</v>
      </c>
    </row>
    <row r="543" spans="1:11" hidden="1" x14ac:dyDescent="0.2">
      <c r="A543" s="22" t="s">
        <v>1066</v>
      </c>
      <c r="B543" s="25">
        <v>27</v>
      </c>
      <c r="C543" s="25">
        <v>14</v>
      </c>
      <c r="D543" s="25">
        <v>8</v>
      </c>
      <c r="E543" s="25">
        <v>4</v>
      </c>
      <c r="F543" s="25">
        <v>4</v>
      </c>
      <c r="G543" s="25">
        <v>4</v>
      </c>
      <c r="H543" s="25">
        <v>2</v>
      </c>
      <c r="I543" s="24">
        <v>7.407407407407407E-2</v>
      </c>
      <c r="J543" s="24">
        <v>0.1875</v>
      </c>
      <c r="K543" s="24">
        <v>1.6875</v>
      </c>
    </row>
    <row r="544" spans="1:11" x14ac:dyDescent="0.2">
      <c r="A544" s="22" t="s">
        <v>1067</v>
      </c>
      <c r="B544" s="25">
        <v>15</v>
      </c>
      <c r="C544" s="25">
        <v>13</v>
      </c>
      <c r="D544" s="25">
        <v>8</v>
      </c>
      <c r="E544" s="25">
        <v>7</v>
      </c>
      <c r="F544" s="25">
        <v>6</v>
      </c>
      <c r="G544" s="25">
        <v>6</v>
      </c>
      <c r="H544" s="25">
        <v>2</v>
      </c>
      <c r="I544" s="24">
        <v>0.13333333333333333</v>
      </c>
      <c r="J544" s="24" t="s">
        <v>1233</v>
      </c>
      <c r="K544" s="24">
        <v>0</v>
      </c>
    </row>
    <row r="545" spans="1:11" x14ac:dyDescent="0.2">
      <c r="A545" s="22" t="s">
        <v>1068</v>
      </c>
      <c r="B545" s="25">
        <v>15</v>
      </c>
      <c r="C545" s="25">
        <v>11</v>
      </c>
      <c r="D545" s="25">
        <v>9</v>
      </c>
      <c r="E545" s="25">
        <v>9</v>
      </c>
      <c r="F545" s="25">
        <v>7</v>
      </c>
      <c r="G545" s="25">
        <v>7</v>
      </c>
      <c r="H545" s="25">
        <v>2</v>
      </c>
      <c r="I545" s="24">
        <v>0.13333333333333333</v>
      </c>
      <c r="J545" s="24" t="s">
        <v>1233</v>
      </c>
      <c r="K545" s="24">
        <v>0</v>
      </c>
    </row>
    <row r="546" spans="1:11" x14ac:dyDescent="0.2">
      <c r="A546" s="22" t="s">
        <v>1069</v>
      </c>
      <c r="B546" s="25">
        <v>9</v>
      </c>
      <c r="C546" s="25">
        <v>3</v>
      </c>
      <c r="D546" s="25">
        <v>3</v>
      </c>
      <c r="E546" s="25">
        <v>3</v>
      </c>
      <c r="F546" s="25">
        <v>3</v>
      </c>
      <c r="G546" s="25">
        <v>2</v>
      </c>
      <c r="H546" s="25">
        <v>2</v>
      </c>
      <c r="I546" s="24">
        <v>0.22222222222222221</v>
      </c>
      <c r="J546" s="24" t="s">
        <v>1233</v>
      </c>
      <c r="K546" s="24">
        <v>0</v>
      </c>
    </row>
    <row r="547" spans="1:11" x14ac:dyDescent="0.2">
      <c r="A547" s="22" t="s">
        <v>1070</v>
      </c>
      <c r="B547" s="25">
        <v>10</v>
      </c>
      <c r="C547" s="25">
        <v>10</v>
      </c>
      <c r="D547" s="25">
        <v>8</v>
      </c>
      <c r="E547" s="25">
        <v>8</v>
      </c>
      <c r="F547" s="25">
        <v>8</v>
      </c>
      <c r="G547" s="25">
        <v>6</v>
      </c>
      <c r="H547" s="25">
        <v>2</v>
      </c>
      <c r="I547" s="24">
        <v>0.2</v>
      </c>
      <c r="J547" s="24" t="s">
        <v>1233</v>
      </c>
      <c r="K547" s="24">
        <v>0</v>
      </c>
    </row>
    <row r="548" spans="1:11" hidden="1" x14ac:dyDescent="0.2">
      <c r="A548" s="22" t="s">
        <v>1071</v>
      </c>
      <c r="B548" s="25">
        <v>55</v>
      </c>
      <c r="C548" s="25">
        <v>35</v>
      </c>
      <c r="D548" s="25">
        <v>18</v>
      </c>
      <c r="E548" s="25">
        <v>11</v>
      </c>
      <c r="F548" s="25">
        <v>7</v>
      </c>
      <c r="G548" s="25">
        <v>7</v>
      </c>
      <c r="H548" s="25">
        <v>2</v>
      </c>
      <c r="I548" s="24">
        <v>3.6363636363636362E-2</v>
      </c>
      <c r="J548" s="24">
        <v>9.375E-2</v>
      </c>
      <c r="K548" s="24">
        <v>1.71875</v>
      </c>
    </row>
    <row r="549" spans="1:11" hidden="1" x14ac:dyDescent="0.2">
      <c r="A549" s="22" t="s">
        <v>1072</v>
      </c>
      <c r="B549" s="25">
        <v>31</v>
      </c>
      <c r="C549" s="25">
        <v>15</v>
      </c>
      <c r="D549" s="25">
        <v>8</v>
      </c>
      <c r="E549" s="25">
        <v>4</v>
      </c>
      <c r="F549" s="25">
        <v>2</v>
      </c>
      <c r="G549" s="25">
        <v>2</v>
      </c>
      <c r="H549" s="25">
        <v>1</v>
      </c>
      <c r="I549" s="24">
        <v>3.2258064516129031E-2</v>
      </c>
      <c r="J549" s="24" t="s">
        <v>1233</v>
      </c>
      <c r="K549" s="24">
        <v>0</v>
      </c>
    </row>
    <row r="550" spans="1:11" x14ac:dyDescent="0.2">
      <c r="A550" s="22" t="s">
        <v>1073</v>
      </c>
      <c r="B550" s="25">
        <v>6</v>
      </c>
      <c r="C550" s="25">
        <v>3</v>
      </c>
      <c r="D550" s="25">
        <v>3</v>
      </c>
      <c r="E550" s="25">
        <v>3</v>
      </c>
      <c r="F550" s="25">
        <v>3</v>
      </c>
      <c r="G550" s="25">
        <v>3</v>
      </c>
      <c r="H550" s="25">
        <v>1</v>
      </c>
      <c r="I550" s="24">
        <v>0.16666666666666666</v>
      </c>
      <c r="J550" s="24" t="s">
        <v>1233</v>
      </c>
      <c r="K550" s="24">
        <v>0</v>
      </c>
    </row>
    <row r="551" spans="1:11" hidden="1" x14ac:dyDescent="0.2">
      <c r="A551" s="22" t="s">
        <v>1074</v>
      </c>
      <c r="B551" s="25">
        <v>36</v>
      </c>
      <c r="C551" s="25">
        <v>14</v>
      </c>
      <c r="D551" s="25">
        <v>8</v>
      </c>
      <c r="E551" s="25">
        <v>7</v>
      </c>
      <c r="F551" s="25">
        <v>6</v>
      </c>
      <c r="G551" s="25">
        <v>5</v>
      </c>
      <c r="H551" s="25">
        <v>1</v>
      </c>
      <c r="I551" s="24">
        <v>2.7777777777777776E-2</v>
      </c>
      <c r="J551" s="24" t="s">
        <v>1233</v>
      </c>
      <c r="K551" s="24">
        <v>0</v>
      </c>
    </row>
    <row r="552" spans="1:11" hidden="1" x14ac:dyDescent="0.2">
      <c r="A552" s="22" t="s">
        <v>1075</v>
      </c>
      <c r="B552" s="25">
        <v>9</v>
      </c>
      <c r="C552" s="25">
        <v>7</v>
      </c>
      <c r="D552" s="25">
        <v>3</v>
      </c>
      <c r="E552" s="25">
        <v>3</v>
      </c>
      <c r="F552" s="25">
        <v>2</v>
      </c>
      <c r="G552" s="25">
        <v>2</v>
      </c>
      <c r="H552" s="25">
        <v>1</v>
      </c>
      <c r="I552" s="24">
        <v>0.1111111111111111</v>
      </c>
      <c r="J552" s="24" t="s">
        <v>1233</v>
      </c>
      <c r="K552" s="24">
        <v>0</v>
      </c>
    </row>
    <row r="553" spans="1:11" hidden="1" x14ac:dyDescent="0.2">
      <c r="A553" s="22" t="s">
        <v>1076</v>
      </c>
      <c r="B553" s="25">
        <v>15</v>
      </c>
      <c r="C553" s="25">
        <v>7</v>
      </c>
      <c r="D553" s="25">
        <v>6</v>
      </c>
      <c r="E553" s="25">
        <v>5</v>
      </c>
      <c r="F553" s="25">
        <v>3</v>
      </c>
      <c r="G553" s="25">
        <v>3</v>
      </c>
      <c r="H553" s="25">
        <v>1</v>
      </c>
      <c r="I553" s="24">
        <v>6.6666666666666666E-2</v>
      </c>
      <c r="J553" s="24">
        <v>0.16666666666666666</v>
      </c>
      <c r="K553" s="24">
        <v>2.5</v>
      </c>
    </row>
    <row r="554" spans="1:11" hidden="1" x14ac:dyDescent="0.2">
      <c r="A554" s="22" t="s">
        <v>1077</v>
      </c>
      <c r="B554" s="25">
        <v>25</v>
      </c>
      <c r="C554" s="25">
        <v>20</v>
      </c>
      <c r="D554" s="25">
        <v>13</v>
      </c>
      <c r="E554" s="25">
        <v>10</v>
      </c>
      <c r="F554" s="25">
        <v>10</v>
      </c>
      <c r="G554" s="25">
        <v>10</v>
      </c>
      <c r="H554" s="25">
        <v>1</v>
      </c>
      <c r="I554" s="24">
        <v>0.04</v>
      </c>
      <c r="J554" s="24" t="s">
        <v>1233</v>
      </c>
      <c r="K554" s="24">
        <v>0</v>
      </c>
    </row>
    <row r="555" spans="1:11" x14ac:dyDescent="0.2">
      <c r="A555" s="22" t="s">
        <v>1078</v>
      </c>
      <c r="B555" s="25">
        <v>7</v>
      </c>
      <c r="C555" s="25">
        <v>6</v>
      </c>
      <c r="D555" s="25">
        <v>5</v>
      </c>
      <c r="E555" s="25">
        <v>5</v>
      </c>
      <c r="F555" s="25">
        <v>5</v>
      </c>
      <c r="G555" s="25">
        <v>5</v>
      </c>
      <c r="H555" s="25">
        <v>1</v>
      </c>
      <c r="I555" s="24">
        <v>0.14285714285714285</v>
      </c>
      <c r="J555" s="24" t="s">
        <v>1233</v>
      </c>
      <c r="K555" s="24">
        <v>0</v>
      </c>
    </row>
    <row r="556" spans="1:11" hidden="1" x14ac:dyDescent="0.2">
      <c r="A556" s="22" t="s">
        <v>546</v>
      </c>
      <c r="B556" s="25">
        <v>10</v>
      </c>
      <c r="C556" s="25">
        <v>10</v>
      </c>
      <c r="D556" s="25">
        <v>8</v>
      </c>
      <c r="E556" s="25">
        <v>7</v>
      </c>
      <c r="F556" s="25">
        <v>6</v>
      </c>
      <c r="G556" s="25">
        <v>6</v>
      </c>
      <c r="H556" s="25">
        <v>1</v>
      </c>
      <c r="I556" s="24">
        <v>0.1</v>
      </c>
      <c r="J556" s="24">
        <v>0.11627906976744186</v>
      </c>
      <c r="K556" s="24">
        <v>0.11627906976744186</v>
      </c>
    </row>
    <row r="557" spans="1:11" hidden="1" x14ac:dyDescent="0.2">
      <c r="A557" s="22" t="s">
        <v>1079</v>
      </c>
      <c r="B557" s="25">
        <v>46</v>
      </c>
      <c r="C557" s="25">
        <v>23</v>
      </c>
      <c r="D557" s="25">
        <v>15</v>
      </c>
      <c r="E557" s="25">
        <v>9</v>
      </c>
      <c r="F557" s="25">
        <v>4</v>
      </c>
      <c r="G557" s="25">
        <v>4</v>
      </c>
      <c r="H557" s="25">
        <v>1</v>
      </c>
      <c r="I557" s="24">
        <v>2.1739130434782608E-2</v>
      </c>
      <c r="J557" s="24">
        <v>0.18181818181818182</v>
      </c>
      <c r="K557" s="24">
        <v>1.393939393939394</v>
      </c>
    </row>
    <row r="558" spans="1:11" hidden="1" x14ac:dyDescent="0.2">
      <c r="A558" s="22" t="s">
        <v>1080</v>
      </c>
      <c r="B558" s="25">
        <v>13</v>
      </c>
      <c r="C558" s="25">
        <v>8</v>
      </c>
      <c r="D558" s="25">
        <v>6</v>
      </c>
      <c r="E558" s="25">
        <v>4</v>
      </c>
      <c r="F558" s="25">
        <v>2</v>
      </c>
      <c r="G558" s="25">
        <v>2</v>
      </c>
      <c r="H558" s="25">
        <v>1</v>
      </c>
      <c r="I558" s="24">
        <v>7.6923076923076927E-2</v>
      </c>
      <c r="J558" s="24" t="s">
        <v>1233</v>
      </c>
      <c r="K558" s="24">
        <v>0</v>
      </c>
    </row>
    <row r="559" spans="1:11" hidden="1" x14ac:dyDescent="0.2">
      <c r="A559" s="22" t="s">
        <v>1081</v>
      </c>
      <c r="B559" s="25">
        <v>13</v>
      </c>
      <c r="C559" s="25">
        <v>6</v>
      </c>
      <c r="D559" s="25">
        <v>5</v>
      </c>
      <c r="E559" s="25">
        <v>4</v>
      </c>
      <c r="F559" s="25">
        <v>2</v>
      </c>
      <c r="G559" s="25">
        <v>2</v>
      </c>
      <c r="H559" s="25">
        <v>1</v>
      </c>
      <c r="I559" s="24">
        <v>7.6923076923076927E-2</v>
      </c>
      <c r="J559" s="24">
        <v>0.5</v>
      </c>
      <c r="K559" s="24">
        <v>6.5</v>
      </c>
    </row>
    <row r="560" spans="1:11" hidden="1" x14ac:dyDescent="0.2">
      <c r="A560" s="22" t="s">
        <v>1082</v>
      </c>
      <c r="B560" s="25">
        <v>32</v>
      </c>
      <c r="C560" s="25">
        <v>15</v>
      </c>
      <c r="D560" s="25">
        <v>8</v>
      </c>
      <c r="E560" s="25">
        <v>7</v>
      </c>
      <c r="F560" s="25">
        <v>4</v>
      </c>
      <c r="G560" s="25">
        <v>4</v>
      </c>
      <c r="H560" s="25">
        <v>1</v>
      </c>
      <c r="I560" s="24">
        <v>3.125E-2</v>
      </c>
      <c r="J560" s="24">
        <v>0.11764705882352941</v>
      </c>
      <c r="K560" s="24">
        <v>1.8823529411764706</v>
      </c>
    </row>
    <row r="561" spans="1:11" hidden="1" x14ac:dyDescent="0.2">
      <c r="A561" s="22" t="s">
        <v>1083</v>
      </c>
      <c r="B561" s="25">
        <v>22</v>
      </c>
      <c r="C561" s="25">
        <v>10</v>
      </c>
      <c r="D561" s="25">
        <v>4</v>
      </c>
      <c r="E561" s="25">
        <v>3</v>
      </c>
      <c r="F561" s="25">
        <v>3</v>
      </c>
      <c r="G561" s="25">
        <v>3</v>
      </c>
      <c r="H561" s="25">
        <v>1</v>
      </c>
      <c r="I561" s="24">
        <v>4.5454545454545456E-2</v>
      </c>
      <c r="J561" s="24" t="s">
        <v>1233</v>
      </c>
      <c r="K561" s="24">
        <v>0</v>
      </c>
    </row>
    <row r="562" spans="1:11" hidden="1" x14ac:dyDescent="0.2">
      <c r="A562" s="22" t="s">
        <v>1084</v>
      </c>
      <c r="B562" s="25">
        <v>34</v>
      </c>
      <c r="C562" s="25">
        <v>17</v>
      </c>
      <c r="D562" s="25">
        <v>5</v>
      </c>
      <c r="E562" s="25">
        <v>4</v>
      </c>
      <c r="F562" s="25">
        <v>4</v>
      </c>
      <c r="G562" s="25">
        <v>4</v>
      </c>
      <c r="H562" s="25">
        <v>1</v>
      </c>
      <c r="I562" s="24">
        <v>2.9411764705882353E-2</v>
      </c>
      <c r="J562" s="24">
        <v>0.05</v>
      </c>
      <c r="K562" s="24">
        <v>1.7</v>
      </c>
    </row>
    <row r="563" spans="1:11" hidden="1" x14ac:dyDescent="0.2">
      <c r="A563" s="22" t="s">
        <v>608</v>
      </c>
      <c r="B563" s="25">
        <v>25</v>
      </c>
      <c r="C563" s="25">
        <v>15</v>
      </c>
      <c r="D563" s="25">
        <v>12</v>
      </c>
      <c r="E563" s="25">
        <v>10</v>
      </c>
      <c r="F563" s="25">
        <v>6</v>
      </c>
      <c r="G563" s="25">
        <v>6</v>
      </c>
      <c r="H563" s="25">
        <v>1</v>
      </c>
      <c r="I563" s="24">
        <v>0.04</v>
      </c>
      <c r="J563" s="24">
        <v>0.11764705882352941</v>
      </c>
      <c r="K563" s="24">
        <v>0.21008403361344538</v>
      </c>
    </row>
    <row r="564" spans="1:11" x14ac:dyDescent="0.2">
      <c r="A564" s="22" t="s">
        <v>1085</v>
      </c>
      <c r="B564" s="25">
        <v>6</v>
      </c>
      <c r="C564" s="25">
        <v>3</v>
      </c>
      <c r="D564" s="25">
        <v>1</v>
      </c>
      <c r="E564" s="25">
        <v>1</v>
      </c>
      <c r="F564" s="25">
        <v>1</v>
      </c>
      <c r="G564" s="25">
        <v>1</v>
      </c>
      <c r="H564" s="25">
        <v>1</v>
      </c>
      <c r="I564" s="24">
        <v>0.16666666666666666</v>
      </c>
      <c r="J564" s="24" t="s">
        <v>1233</v>
      </c>
      <c r="K564" s="24">
        <v>0</v>
      </c>
    </row>
    <row r="565" spans="1:11" hidden="1" x14ac:dyDescent="0.2">
      <c r="A565" s="22" t="s">
        <v>1086</v>
      </c>
      <c r="B565" s="25">
        <v>20</v>
      </c>
      <c r="C565" s="25">
        <v>7</v>
      </c>
      <c r="D565" s="25">
        <v>4</v>
      </c>
      <c r="E565" s="25">
        <v>4</v>
      </c>
      <c r="F565" s="25">
        <v>2</v>
      </c>
      <c r="G565" s="25">
        <v>2</v>
      </c>
      <c r="H565" s="25">
        <v>1</v>
      </c>
      <c r="I565" s="24">
        <v>0.05</v>
      </c>
      <c r="J565" s="24">
        <v>0.14285714285714285</v>
      </c>
      <c r="K565" s="24">
        <v>2.8571428571428572</v>
      </c>
    </row>
    <row r="566" spans="1:11" x14ac:dyDescent="0.2">
      <c r="A566" s="22" t="s">
        <v>1087</v>
      </c>
      <c r="B566" s="25">
        <v>6</v>
      </c>
      <c r="C566" s="25">
        <v>2</v>
      </c>
      <c r="D566" s="25">
        <v>1</v>
      </c>
      <c r="E566" s="25">
        <v>1</v>
      </c>
      <c r="F566" s="25">
        <v>1</v>
      </c>
      <c r="G566" s="25">
        <v>1</v>
      </c>
      <c r="H566" s="25">
        <v>1</v>
      </c>
      <c r="I566" s="24">
        <v>0.16666666666666666</v>
      </c>
      <c r="J566" s="24" t="s">
        <v>1233</v>
      </c>
      <c r="K566" s="24">
        <v>0</v>
      </c>
    </row>
    <row r="567" spans="1:11" x14ac:dyDescent="0.2">
      <c r="A567" s="22" t="s">
        <v>1088</v>
      </c>
      <c r="B567" s="25">
        <v>3</v>
      </c>
      <c r="C567" s="25">
        <v>2</v>
      </c>
      <c r="D567" s="25">
        <v>2</v>
      </c>
      <c r="E567" s="25">
        <v>1</v>
      </c>
      <c r="F567" s="25">
        <v>1</v>
      </c>
      <c r="G567" s="25">
        <v>1</v>
      </c>
      <c r="H567" s="25">
        <v>1</v>
      </c>
      <c r="I567" s="24">
        <v>0.33333333333333331</v>
      </c>
      <c r="J567" s="24" t="s">
        <v>1233</v>
      </c>
      <c r="K567" s="24">
        <v>0</v>
      </c>
    </row>
    <row r="568" spans="1:11" hidden="1" x14ac:dyDescent="0.2">
      <c r="A568" s="22" t="s">
        <v>1089</v>
      </c>
      <c r="B568" s="25">
        <v>11</v>
      </c>
      <c r="C568" s="25">
        <v>4</v>
      </c>
      <c r="D568" s="25">
        <v>3</v>
      </c>
      <c r="E568" s="25">
        <v>3</v>
      </c>
      <c r="F568" s="25">
        <v>2</v>
      </c>
      <c r="G568" s="25">
        <v>2</v>
      </c>
      <c r="H568" s="25">
        <v>1</v>
      </c>
      <c r="I568" s="24">
        <v>9.0909090909090912E-2</v>
      </c>
      <c r="J568" s="24" t="s">
        <v>1233</v>
      </c>
      <c r="K568" s="24">
        <v>0</v>
      </c>
    </row>
    <row r="569" spans="1:11" hidden="1" x14ac:dyDescent="0.2">
      <c r="A569" s="22" t="s">
        <v>1090</v>
      </c>
      <c r="B569" s="25">
        <v>14</v>
      </c>
      <c r="C569" s="25">
        <v>10</v>
      </c>
      <c r="D569" s="25">
        <v>5</v>
      </c>
      <c r="E569" s="25">
        <v>4</v>
      </c>
      <c r="F569" s="25">
        <v>4</v>
      </c>
      <c r="G569" s="25">
        <v>4</v>
      </c>
      <c r="H569" s="25">
        <v>1</v>
      </c>
      <c r="I569" s="24">
        <v>7.1428571428571425E-2</v>
      </c>
      <c r="J569" s="24" t="s">
        <v>1233</v>
      </c>
      <c r="K569" s="24">
        <v>0</v>
      </c>
    </row>
    <row r="570" spans="1:11" hidden="1" x14ac:dyDescent="0.2">
      <c r="A570" s="22" t="s">
        <v>1091</v>
      </c>
      <c r="B570" s="25">
        <v>17</v>
      </c>
      <c r="C570" s="25">
        <v>2</v>
      </c>
      <c r="D570" s="25">
        <v>2</v>
      </c>
      <c r="E570" s="25">
        <v>2</v>
      </c>
      <c r="F570" s="25">
        <v>2</v>
      </c>
      <c r="G570" s="25">
        <v>2</v>
      </c>
      <c r="H570" s="25">
        <v>1</v>
      </c>
      <c r="I570" s="24">
        <v>5.8823529411764705E-2</v>
      </c>
      <c r="J570" s="24" t="s">
        <v>1233</v>
      </c>
      <c r="K570" s="24">
        <v>0</v>
      </c>
    </row>
    <row r="571" spans="1:11" hidden="1" x14ac:dyDescent="0.2">
      <c r="A571" s="22" t="s">
        <v>1092</v>
      </c>
      <c r="B571" s="25">
        <v>12</v>
      </c>
      <c r="C571" s="25">
        <v>6</v>
      </c>
      <c r="D571" s="25">
        <v>6</v>
      </c>
      <c r="E571" s="25">
        <v>2</v>
      </c>
      <c r="F571" s="25">
        <v>1</v>
      </c>
      <c r="G571" s="25">
        <v>1</v>
      </c>
      <c r="H571" s="25">
        <v>1</v>
      </c>
      <c r="I571" s="24">
        <v>8.3333333333333329E-2</v>
      </c>
      <c r="J571" s="24" t="s">
        <v>1233</v>
      </c>
      <c r="K571" s="24">
        <v>0</v>
      </c>
    </row>
    <row r="572" spans="1:11" hidden="1" x14ac:dyDescent="0.2">
      <c r="A572" s="22" t="s">
        <v>1093</v>
      </c>
      <c r="B572" s="25">
        <v>10</v>
      </c>
      <c r="C572" s="25">
        <v>8</v>
      </c>
      <c r="D572" s="25">
        <v>6</v>
      </c>
      <c r="E572" s="25">
        <v>3</v>
      </c>
      <c r="F572" s="25">
        <v>2</v>
      </c>
      <c r="G572" s="25">
        <v>2</v>
      </c>
      <c r="H572" s="25">
        <v>1</v>
      </c>
      <c r="I572" s="24">
        <v>0.1</v>
      </c>
      <c r="J572" s="24" t="s">
        <v>1233</v>
      </c>
      <c r="K572" s="24">
        <v>0</v>
      </c>
    </row>
    <row r="573" spans="1:11" x14ac:dyDescent="0.2">
      <c r="A573" s="22" t="s">
        <v>1094</v>
      </c>
      <c r="B573" s="25">
        <v>4</v>
      </c>
      <c r="C573" s="25">
        <v>3</v>
      </c>
      <c r="D573" s="25">
        <v>2</v>
      </c>
      <c r="E573" s="25">
        <v>2</v>
      </c>
      <c r="F573" s="25">
        <v>2</v>
      </c>
      <c r="G573" s="25">
        <v>1</v>
      </c>
      <c r="H573" s="25">
        <v>1</v>
      </c>
      <c r="I573" s="24">
        <v>0.25</v>
      </c>
      <c r="J573" s="24" t="s">
        <v>1233</v>
      </c>
      <c r="K573" s="24">
        <v>0</v>
      </c>
    </row>
    <row r="574" spans="1:11" hidden="1" x14ac:dyDescent="0.2">
      <c r="A574" s="22" t="s">
        <v>1095</v>
      </c>
      <c r="B574" s="25">
        <v>18</v>
      </c>
      <c r="C574" s="25">
        <v>6</v>
      </c>
      <c r="D574" s="25">
        <v>3</v>
      </c>
      <c r="E574" s="25">
        <v>3</v>
      </c>
      <c r="F574" s="25">
        <v>1</v>
      </c>
      <c r="G574" s="25">
        <v>1</v>
      </c>
      <c r="H574" s="25">
        <v>1</v>
      </c>
      <c r="I574" s="24">
        <v>5.5555555555555552E-2</v>
      </c>
      <c r="J574" s="24" t="s">
        <v>1233</v>
      </c>
      <c r="K574" s="24">
        <v>0</v>
      </c>
    </row>
    <row r="575" spans="1:11" hidden="1" x14ac:dyDescent="0.2">
      <c r="A575" s="22" t="s">
        <v>1096</v>
      </c>
      <c r="B575" s="25">
        <v>10</v>
      </c>
      <c r="C575" s="25">
        <v>8</v>
      </c>
      <c r="D575" s="25">
        <v>6</v>
      </c>
      <c r="E575" s="25">
        <v>4</v>
      </c>
      <c r="F575" s="25">
        <v>3</v>
      </c>
      <c r="G575" s="25">
        <v>3</v>
      </c>
      <c r="H575" s="25">
        <v>1</v>
      </c>
      <c r="I575" s="24">
        <v>0.1</v>
      </c>
      <c r="J575" s="24" t="s">
        <v>1233</v>
      </c>
      <c r="K575" s="24">
        <v>0</v>
      </c>
    </row>
    <row r="576" spans="1:11" hidden="1" x14ac:dyDescent="0.2">
      <c r="A576" s="22" t="s">
        <v>1097</v>
      </c>
      <c r="B576" s="25">
        <v>17</v>
      </c>
      <c r="C576" s="25">
        <v>9</v>
      </c>
      <c r="D576" s="25">
        <v>6</v>
      </c>
      <c r="E576" s="25">
        <v>5</v>
      </c>
      <c r="F576" s="25">
        <v>3</v>
      </c>
      <c r="G576" s="25">
        <v>2</v>
      </c>
      <c r="H576" s="25">
        <v>1</v>
      </c>
      <c r="I576" s="24">
        <v>5.8823529411764705E-2</v>
      </c>
      <c r="J576" s="24" t="s">
        <v>1233</v>
      </c>
      <c r="K576" s="24">
        <v>0</v>
      </c>
    </row>
    <row r="577" spans="1:11" hidden="1" x14ac:dyDescent="0.2">
      <c r="A577" s="22" t="s">
        <v>1098</v>
      </c>
      <c r="B577" s="25">
        <v>36</v>
      </c>
      <c r="C577" s="25">
        <v>11</v>
      </c>
      <c r="D577" s="25">
        <v>6</v>
      </c>
      <c r="E577" s="25">
        <v>4</v>
      </c>
      <c r="F577" s="25">
        <v>3</v>
      </c>
      <c r="G577" s="25">
        <v>3</v>
      </c>
      <c r="H577" s="25">
        <v>1</v>
      </c>
      <c r="I577" s="24">
        <v>2.7777777777777776E-2</v>
      </c>
      <c r="J577" s="24">
        <v>5.4054054054054057E-2</v>
      </c>
      <c r="K577" s="24">
        <v>0.97297297297297303</v>
      </c>
    </row>
    <row r="578" spans="1:11" hidden="1" x14ac:dyDescent="0.2">
      <c r="A578" s="22" t="s">
        <v>1099</v>
      </c>
      <c r="B578" s="25">
        <v>57</v>
      </c>
      <c r="C578" s="25">
        <v>30</v>
      </c>
      <c r="D578" s="25">
        <v>11</v>
      </c>
      <c r="E578" s="25">
        <v>9</v>
      </c>
      <c r="F578" s="25">
        <v>6</v>
      </c>
      <c r="G578" s="25">
        <v>5</v>
      </c>
      <c r="H578" s="25">
        <v>1</v>
      </c>
      <c r="I578" s="24">
        <v>1.7543859649122806E-2</v>
      </c>
      <c r="J578" s="24">
        <v>7.6923076923076927E-2</v>
      </c>
      <c r="K578" s="24">
        <v>2.1923076923076925</v>
      </c>
    </row>
    <row r="579" spans="1:11" hidden="1" x14ac:dyDescent="0.2">
      <c r="A579" s="22" t="s">
        <v>1100</v>
      </c>
      <c r="B579" s="25">
        <v>12</v>
      </c>
      <c r="C579" s="25">
        <v>7</v>
      </c>
      <c r="D579" s="25">
        <v>5</v>
      </c>
      <c r="E579" s="25">
        <v>4</v>
      </c>
      <c r="F579" s="25">
        <v>4</v>
      </c>
      <c r="G579" s="25">
        <v>4</v>
      </c>
      <c r="H579" s="25">
        <v>1</v>
      </c>
      <c r="I579" s="24">
        <v>8.3333333333333329E-2</v>
      </c>
      <c r="J579" s="24" t="s">
        <v>1233</v>
      </c>
      <c r="K579" s="24">
        <v>0</v>
      </c>
    </row>
    <row r="580" spans="1:11" hidden="1" x14ac:dyDescent="0.2">
      <c r="A580" s="22" t="s">
        <v>1101</v>
      </c>
      <c r="B580" s="25">
        <v>22</v>
      </c>
      <c r="C580" s="25">
        <v>12</v>
      </c>
      <c r="D580" s="25">
        <v>8</v>
      </c>
      <c r="E580" s="25">
        <v>7</v>
      </c>
      <c r="F580" s="25">
        <v>5</v>
      </c>
      <c r="G580" s="25">
        <v>5</v>
      </c>
      <c r="H580" s="25">
        <v>1</v>
      </c>
      <c r="I580" s="24">
        <v>4.5454545454545456E-2</v>
      </c>
      <c r="J580" s="24">
        <v>0.2</v>
      </c>
      <c r="K580" s="24">
        <v>0.88</v>
      </c>
    </row>
    <row r="581" spans="1:11" hidden="1" x14ac:dyDescent="0.2">
      <c r="A581" s="22" t="s">
        <v>1102</v>
      </c>
      <c r="B581" s="25">
        <v>14</v>
      </c>
      <c r="C581" s="25">
        <v>8</v>
      </c>
      <c r="D581" s="25">
        <v>4</v>
      </c>
      <c r="E581" s="25">
        <v>4</v>
      </c>
      <c r="F581" s="25">
        <v>3</v>
      </c>
      <c r="G581" s="25">
        <v>3</v>
      </c>
      <c r="H581" s="25">
        <v>1</v>
      </c>
      <c r="I581" s="24">
        <v>7.1428571428571425E-2</v>
      </c>
      <c r="J581" s="24" t="s">
        <v>1233</v>
      </c>
      <c r="K581" s="24">
        <v>0</v>
      </c>
    </row>
    <row r="582" spans="1:11" hidden="1" x14ac:dyDescent="0.2">
      <c r="A582" s="22" t="s">
        <v>1103</v>
      </c>
      <c r="B582" s="25">
        <v>23</v>
      </c>
      <c r="C582" s="25">
        <v>15</v>
      </c>
      <c r="D582" s="25">
        <v>11</v>
      </c>
      <c r="E582" s="25">
        <v>7</v>
      </c>
      <c r="F582" s="25">
        <v>5</v>
      </c>
      <c r="G582" s="25">
        <v>4</v>
      </c>
      <c r="H582" s="25">
        <v>1</v>
      </c>
      <c r="I582" s="24">
        <v>4.3478260869565216E-2</v>
      </c>
      <c r="J582" s="24">
        <v>0.125</v>
      </c>
      <c r="K582" s="24">
        <v>2.875</v>
      </c>
    </row>
    <row r="583" spans="1:11" hidden="1" x14ac:dyDescent="0.2">
      <c r="A583" s="22" t="s">
        <v>312</v>
      </c>
      <c r="B583" s="25">
        <v>22</v>
      </c>
      <c r="C583" s="25">
        <v>13</v>
      </c>
      <c r="D583" s="25">
        <v>7</v>
      </c>
      <c r="E583" s="25">
        <v>5</v>
      </c>
      <c r="F583" s="25">
        <v>4</v>
      </c>
      <c r="G583" s="25">
        <v>4</v>
      </c>
      <c r="H583" s="25">
        <v>1</v>
      </c>
      <c r="I583" s="24">
        <v>4.5454545454545456E-2</v>
      </c>
      <c r="J583" s="24" t="s">
        <v>1233</v>
      </c>
      <c r="K583" s="24">
        <v>0</v>
      </c>
    </row>
    <row r="584" spans="1:11" hidden="1" x14ac:dyDescent="0.2">
      <c r="A584" s="22" t="s">
        <v>1104</v>
      </c>
      <c r="B584" s="25">
        <v>14</v>
      </c>
      <c r="C584" s="25">
        <v>5</v>
      </c>
      <c r="D584" s="25">
        <v>3</v>
      </c>
      <c r="E584" s="25">
        <v>3</v>
      </c>
      <c r="F584" s="25">
        <v>3</v>
      </c>
      <c r="G584" s="25">
        <v>3</v>
      </c>
      <c r="H584" s="25">
        <v>1</v>
      </c>
      <c r="I584" s="24">
        <v>7.1428571428571425E-2</v>
      </c>
      <c r="J584" s="24" t="s">
        <v>1233</v>
      </c>
      <c r="K584" s="24">
        <v>0</v>
      </c>
    </row>
    <row r="585" spans="1:11" hidden="1" x14ac:dyDescent="0.2">
      <c r="A585" s="22" t="s">
        <v>1105</v>
      </c>
      <c r="B585" s="25">
        <v>14</v>
      </c>
      <c r="C585" s="25">
        <v>6</v>
      </c>
      <c r="D585" s="25">
        <v>3</v>
      </c>
      <c r="E585" s="25">
        <v>2</v>
      </c>
      <c r="F585" s="25">
        <v>1</v>
      </c>
      <c r="G585" s="25">
        <v>1</v>
      </c>
      <c r="H585" s="25">
        <v>1</v>
      </c>
      <c r="I585" s="24">
        <v>7.1428571428571425E-2</v>
      </c>
      <c r="J585" s="24">
        <v>3.4482758620689655E-2</v>
      </c>
      <c r="K585" s="24">
        <v>0.48275862068965519</v>
      </c>
    </row>
    <row r="586" spans="1:11" hidden="1" x14ac:dyDescent="0.2">
      <c r="A586" s="22" t="s">
        <v>1106</v>
      </c>
      <c r="B586" s="25">
        <v>13</v>
      </c>
      <c r="C586" s="25">
        <v>4</v>
      </c>
      <c r="D586" s="25">
        <v>3</v>
      </c>
      <c r="E586" s="25">
        <v>3</v>
      </c>
      <c r="F586" s="25">
        <v>1</v>
      </c>
      <c r="G586" s="25">
        <v>1</v>
      </c>
      <c r="H586" s="25">
        <v>1</v>
      </c>
      <c r="I586" s="24">
        <v>7.6923076923076927E-2</v>
      </c>
      <c r="J586" s="24">
        <v>8.1243731193580748E-2</v>
      </c>
      <c r="K586" s="24">
        <v>1.3039117352056168E-2</v>
      </c>
    </row>
    <row r="587" spans="1:11" x14ac:dyDescent="0.2">
      <c r="A587" s="22" t="s">
        <v>476</v>
      </c>
      <c r="B587" s="25">
        <v>7</v>
      </c>
      <c r="C587" s="25">
        <v>5</v>
      </c>
      <c r="D587" s="25">
        <v>4</v>
      </c>
      <c r="E587" s="25">
        <v>4</v>
      </c>
      <c r="F587" s="25">
        <v>3</v>
      </c>
      <c r="G587" s="25">
        <v>1</v>
      </c>
      <c r="H587" s="25">
        <v>1</v>
      </c>
      <c r="I587" s="24">
        <v>0.14285714285714285</v>
      </c>
      <c r="J587" s="24" t="s">
        <v>1233</v>
      </c>
      <c r="K587" s="24">
        <v>0</v>
      </c>
    </row>
    <row r="588" spans="1:11" x14ac:dyDescent="0.2">
      <c r="A588" s="22" t="s">
        <v>1107</v>
      </c>
      <c r="B588" s="25">
        <v>6</v>
      </c>
      <c r="C588" s="25">
        <v>6</v>
      </c>
      <c r="D588" s="25">
        <v>3</v>
      </c>
      <c r="E588" s="25">
        <v>3</v>
      </c>
      <c r="F588" s="25">
        <v>2</v>
      </c>
      <c r="G588" s="25">
        <v>2</v>
      </c>
      <c r="H588" s="25">
        <v>1</v>
      </c>
      <c r="I588" s="24">
        <v>0.16666666666666666</v>
      </c>
      <c r="J588" s="24">
        <v>0.1</v>
      </c>
      <c r="K588" s="24">
        <v>0.6</v>
      </c>
    </row>
    <row r="589" spans="1:11" hidden="1" x14ac:dyDescent="0.2">
      <c r="A589" s="22" t="s">
        <v>1108</v>
      </c>
      <c r="B589" s="25">
        <v>9</v>
      </c>
      <c r="C589" s="25">
        <v>3</v>
      </c>
      <c r="D589" s="25">
        <v>2</v>
      </c>
      <c r="E589" s="25">
        <v>2</v>
      </c>
      <c r="F589" s="25">
        <v>2</v>
      </c>
      <c r="G589" s="25">
        <v>2</v>
      </c>
      <c r="H589" s="25">
        <v>1</v>
      </c>
      <c r="I589" s="24">
        <v>0.1111111111111111</v>
      </c>
      <c r="J589" s="24">
        <v>6.6666666666666666E-2</v>
      </c>
      <c r="K589" s="24">
        <v>0.6</v>
      </c>
    </row>
    <row r="590" spans="1:11" hidden="1" x14ac:dyDescent="0.2">
      <c r="A590" s="22" t="s">
        <v>1109</v>
      </c>
      <c r="B590" s="25">
        <v>16</v>
      </c>
      <c r="C590" s="25">
        <v>13</v>
      </c>
      <c r="D590" s="25">
        <v>10</v>
      </c>
      <c r="E590" s="25">
        <v>8</v>
      </c>
      <c r="F590" s="25">
        <v>5</v>
      </c>
      <c r="G590" s="25">
        <v>5</v>
      </c>
      <c r="H590" s="25">
        <v>1</v>
      </c>
      <c r="I590" s="24">
        <v>6.25E-2</v>
      </c>
      <c r="J590" s="24" t="s">
        <v>1233</v>
      </c>
      <c r="K590" s="24">
        <v>0</v>
      </c>
    </row>
    <row r="591" spans="1:11" x14ac:dyDescent="0.2">
      <c r="A591" s="22" t="s">
        <v>1110</v>
      </c>
      <c r="B591" s="25">
        <v>3</v>
      </c>
      <c r="C591" s="25">
        <v>3</v>
      </c>
      <c r="D591" s="25">
        <v>2</v>
      </c>
      <c r="E591" s="25">
        <v>2</v>
      </c>
      <c r="F591" s="25">
        <v>2</v>
      </c>
      <c r="G591" s="25">
        <v>2</v>
      </c>
      <c r="H591" s="25">
        <v>1</v>
      </c>
      <c r="I591" s="24">
        <v>0.33333333333333331</v>
      </c>
      <c r="J591" s="24" t="s">
        <v>1233</v>
      </c>
      <c r="K591" s="24">
        <v>0</v>
      </c>
    </row>
    <row r="592" spans="1:11" x14ac:dyDescent="0.2">
      <c r="A592" s="22" t="s">
        <v>1111</v>
      </c>
      <c r="B592" s="25">
        <v>7</v>
      </c>
      <c r="C592" s="25">
        <v>1</v>
      </c>
      <c r="D592" s="25">
        <v>1</v>
      </c>
      <c r="E592" s="25">
        <v>1</v>
      </c>
      <c r="F592" s="25">
        <v>1</v>
      </c>
      <c r="G592" s="25">
        <v>1</v>
      </c>
      <c r="H592" s="25">
        <v>1</v>
      </c>
      <c r="I592" s="24">
        <v>0.14285714285714285</v>
      </c>
      <c r="J592" s="24" t="s">
        <v>1233</v>
      </c>
      <c r="K592" s="24">
        <v>0</v>
      </c>
    </row>
    <row r="593" spans="1:11" hidden="1" x14ac:dyDescent="0.2">
      <c r="A593" s="22" t="s">
        <v>1112</v>
      </c>
      <c r="B593" s="25">
        <v>13</v>
      </c>
      <c r="C593" s="25">
        <v>6</v>
      </c>
      <c r="D593" s="25">
        <v>4</v>
      </c>
      <c r="E593" s="25">
        <v>4</v>
      </c>
      <c r="F593" s="25">
        <v>2</v>
      </c>
      <c r="G593" s="25">
        <v>1</v>
      </c>
      <c r="H593" s="25">
        <v>1</v>
      </c>
      <c r="I593" s="24">
        <v>7.6923076923076927E-2</v>
      </c>
      <c r="J593" s="24">
        <v>7.1428571428571425E-2</v>
      </c>
      <c r="K593" s="24">
        <v>0.9285714285714286</v>
      </c>
    </row>
    <row r="594" spans="1:11" hidden="1" x14ac:dyDescent="0.2">
      <c r="A594" s="22" t="s">
        <v>1113</v>
      </c>
      <c r="B594" s="25">
        <v>49</v>
      </c>
      <c r="C594" s="25">
        <v>31</v>
      </c>
      <c r="D594" s="25">
        <v>17</v>
      </c>
      <c r="E594" s="25">
        <v>17</v>
      </c>
      <c r="F594" s="25">
        <v>11</v>
      </c>
      <c r="G594" s="25">
        <v>10</v>
      </c>
      <c r="H594" s="25">
        <v>1</v>
      </c>
      <c r="I594" s="24">
        <v>2.0408163265306121E-2</v>
      </c>
      <c r="J594" s="24" t="s">
        <v>1233</v>
      </c>
      <c r="K594" s="24">
        <v>0</v>
      </c>
    </row>
    <row r="595" spans="1:11" hidden="1" x14ac:dyDescent="0.2">
      <c r="A595" s="22" t="s">
        <v>1114</v>
      </c>
      <c r="B595" s="25">
        <v>30</v>
      </c>
      <c r="C595" s="25">
        <v>12</v>
      </c>
      <c r="D595" s="25">
        <v>9</v>
      </c>
      <c r="E595" s="25">
        <v>7</v>
      </c>
      <c r="F595" s="25">
        <v>4</v>
      </c>
      <c r="G595" s="25">
        <v>4</v>
      </c>
      <c r="H595" s="25">
        <v>1</v>
      </c>
      <c r="I595" s="24">
        <v>3.3333333333333333E-2</v>
      </c>
      <c r="J595" s="24" t="s">
        <v>1233</v>
      </c>
      <c r="K595" s="24">
        <v>0</v>
      </c>
    </row>
    <row r="596" spans="1:11" x14ac:dyDescent="0.2">
      <c r="A596" s="22" t="s">
        <v>1115</v>
      </c>
      <c r="B596" s="25">
        <v>7</v>
      </c>
      <c r="C596" s="25">
        <v>5</v>
      </c>
      <c r="D596" s="25">
        <v>2</v>
      </c>
      <c r="E596" s="25">
        <v>1</v>
      </c>
      <c r="F596" s="25">
        <v>1</v>
      </c>
      <c r="G596" s="25">
        <v>1</v>
      </c>
      <c r="H596" s="25">
        <v>1</v>
      </c>
      <c r="I596" s="24">
        <v>0.14285714285714285</v>
      </c>
      <c r="J596" s="24" t="s">
        <v>1233</v>
      </c>
      <c r="K596" s="24">
        <v>0</v>
      </c>
    </row>
    <row r="597" spans="1:11" hidden="1" x14ac:dyDescent="0.2">
      <c r="A597" s="22" t="s">
        <v>1116</v>
      </c>
      <c r="B597" s="25">
        <v>28</v>
      </c>
      <c r="C597" s="25">
        <v>8</v>
      </c>
      <c r="D597" s="25">
        <v>6</v>
      </c>
      <c r="E597" s="25">
        <v>6</v>
      </c>
      <c r="F597" s="25">
        <v>6</v>
      </c>
      <c r="G597" s="25">
        <v>6</v>
      </c>
      <c r="H597" s="25">
        <v>1</v>
      </c>
      <c r="I597" s="24">
        <v>3.5714285714285712E-2</v>
      </c>
      <c r="J597" s="24">
        <v>9.0909090909090912E-2</v>
      </c>
      <c r="K597" s="24">
        <v>2.5454545454545454</v>
      </c>
    </row>
    <row r="598" spans="1:11" x14ac:dyDescent="0.2">
      <c r="A598" s="22" t="s">
        <v>1117</v>
      </c>
      <c r="B598" s="25">
        <v>6</v>
      </c>
      <c r="C598" s="25">
        <v>6</v>
      </c>
      <c r="D598" s="25">
        <v>3</v>
      </c>
      <c r="E598" s="25">
        <v>3</v>
      </c>
      <c r="F598" s="25">
        <v>3</v>
      </c>
      <c r="G598" s="25">
        <v>3</v>
      </c>
      <c r="H598" s="25">
        <v>1</v>
      </c>
      <c r="I598" s="24">
        <v>0.16666666666666666</v>
      </c>
      <c r="J598" s="24" t="s">
        <v>1233</v>
      </c>
      <c r="K598" s="24">
        <v>0</v>
      </c>
    </row>
    <row r="599" spans="1:11" hidden="1" x14ac:dyDescent="0.2">
      <c r="A599" s="22" t="s">
        <v>432</v>
      </c>
      <c r="B599" s="25">
        <v>18</v>
      </c>
      <c r="C599" s="25">
        <v>13</v>
      </c>
      <c r="D599" s="25">
        <v>10</v>
      </c>
      <c r="E599" s="25">
        <v>9</v>
      </c>
      <c r="F599" s="25">
        <v>6</v>
      </c>
      <c r="G599" s="25">
        <v>6</v>
      </c>
      <c r="H599" s="25">
        <v>1</v>
      </c>
      <c r="I599" s="24">
        <v>5.5555555555555552E-2</v>
      </c>
      <c r="J599" s="24">
        <v>0.19517102615694165</v>
      </c>
      <c r="K599" s="24">
        <v>3.6217303822937627E-2</v>
      </c>
    </row>
    <row r="600" spans="1:11" x14ac:dyDescent="0.2">
      <c r="A600" s="22" t="s">
        <v>1118</v>
      </c>
      <c r="B600" s="25">
        <v>5</v>
      </c>
      <c r="C600" s="25">
        <v>4</v>
      </c>
      <c r="D600" s="25">
        <v>3</v>
      </c>
      <c r="E600" s="25">
        <v>2</v>
      </c>
      <c r="F600" s="25">
        <v>2</v>
      </c>
      <c r="G600" s="25">
        <v>2</v>
      </c>
      <c r="H600" s="25">
        <v>1</v>
      </c>
      <c r="I600" s="24">
        <v>0.2</v>
      </c>
      <c r="J600" s="24" t="s">
        <v>1233</v>
      </c>
      <c r="K600" s="24">
        <v>0</v>
      </c>
    </row>
    <row r="601" spans="1:11" x14ac:dyDescent="0.2">
      <c r="A601" s="22" t="s">
        <v>1119</v>
      </c>
      <c r="B601" s="25">
        <v>5</v>
      </c>
      <c r="C601" s="25">
        <v>1</v>
      </c>
      <c r="D601" s="25">
        <v>1</v>
      </c>
      <c r="E601" s="25">
        <v>1</v>
      </c>
      <c r="F601" s="25">
        <v>1</v>
      </c>
      <c r="G601" s="25">
        <v>1</v>
      </c>
      <c r="H601" s="25">
        <v>1</v>
      </c>
      <c r="I601" s="24">
        <v>0.2</v>
      </c>
      <c r="J601" s="24">
        <v>0.25</v>
      </c>
      <c r="K601" s="24">
        <v>1.25</v>
      </c>
    </row>
    <row r="602" spans="1:11" hidden="1" x14ac:dyDescent="0.2">
      <c r="A602" s="22" t="s">
        <v>318</v>
      </c>
      <c r="B602" s="25">
        <v>58</v>
      </c>
      <c r="C602" s="25">
        <v>32</v>
      </c>
      <c r="D602" s="25">
        <v>20</v>
      </c>
      <c r="E602" s="25">
        <v>18</v>
      </c>
      <c r="F602" s="25">
        <v>12</v>
      </c>
      <c r="G602" s="25">
        <v>11</v>
      </c>
      <c r="H602" s="25">
        <v>1</v>
      </c>
      <c r="I602" s="24">
        <v>1.7241379310344827E-2</v>
      </c>
      <c r="J602" s="24" t="s">
        <v>1233</v>
      </c>
      <c r="K602" s="24">
        <v>0</v>
      </c>
    </row>
    <row r="603" spans="1:11" hidden="1" x14ac:dyDescent="0.2">
      <c r="A603" s="22" t="s">
        <v>1120</v>
      </c>
      <c r="B603" s="25">
        <v>12</v>
      </c>
      <c r="C603" s="25">
        <v>6</v>
      </c>
      <c r="D603" s="25">
        <v>4</v>
      </c>
      <c r="E603" s="25">
        <v>4</v>
      </c>
      <c r="F603" s="25">
        <v>3</v>
      </c>
      <c r="G603" s="25">
        <v>3</v>
      </c>
      <c r="H603" s="25">
        <v>1</v>
      </c>
      <c r="I603" s="24">
        <v>8.3333333333333329E-2</v>
      </c>
      <c r="J603" s="24">
        <v>0.27777777777777779</v>
      </c>
      <c r="K603" s="24">
        <v>0.66666666666666663</v>
      </c>
    </row>
    <row r="604" spans="1:11" hidden="1" x14ac:dyDescent="0.2">
      <c r="A604" s="22" t="s">
        <v>1121</v>
      </c>
      <c r="B604" s="25">
        <v>54</v>
      </c>
      <c r="C604" s="25">
        <v>21</v>
      </c>
      <c r="D604" s="25">
        <v>10</v>
      </c>
      <c r="E604" s="25">
        <v>8</v>
      </c>
      <c r="F604" s="25">
        <v>8</v>
      </c>
      <c r="G604" s="25">
        <v>8</v>
      </c>
      <c r="H604" s="25">
        <v>1</v>
      </c>
      <c r="I604" s="24">
        <v>1.8518518518518517E-2</v>
      </c>
      <c r="J604" s="24">
        <v>3.8461538461538464E-2</v>
      </c>
      <c r="K604" s="24">
        <v>2.0769230769230771</v>
      </c>
    </row>
    <row r="605" spans="1:11" hidden="1" x14ac:dyDescent="0.2">
      <c r="A605" s="22" t="s">
        <v>1122</v>
      </c>
      <c r="B605" s="25">
        <v>9</v>
      </c>
      <c r="C605" s="25">
        <v>7</v>
      </c>
      <c r="D605" s="25">
        <v>2</v>
      </c>
      <c r="E605" s="25">
        <v>2</v>
      </c>
      <c r="F605" s="25">
        <v>1</v>
      </c>
      <c r="G605" s="25">
        <v>1</v>
      </c>
      <c r="H605" s="25">
        <v>1</v>
      </c>
      <c r="I605" s="24">
        <v>0.1111111111111111</v>
      </c>
      <c r="J605" s="24" t="s">
        <v>1233</v>
      </c>
      <c r="K605" s="24">
        <v>0</v>
      </c>
    </row>
    <row r="606" spans="1:11" hidden="1" x14ac:dyDescent="0.2">
      <c r="A606" s="22" t="s">
        <v>1123</v>
      </c>
      <c r="B606" s="25">
        <v>13</v>
      </c>
      <c r="C606" s="25">
        <v>9</v>
      </c>
      <c r="D606" s="25">
        <v>6</v>
      </c>
      <c r="E606" s="25">
        <v>4</v>
      </c>
      <c r="F606" s="25">
        <v>3</v>
      </c>
      <c r="G606" s="25">
        <v>3</v>
      </c>
      <c r="H606" s="25">
        <v>1</v>
      </c>
      <c r="I606" s="24">
        <v>7.6923076923076927E-2</v>
      </c>
      <c r="J606" s="24">
        <v>0.375</v>
      </c>
      <c r="K606" s="24">
        <v>0.8125</v>
      </c>
    </row>
    <row r="607" spans="1:11" hidden="1" x14ac:dyDescent="0.2">
      <c r="A607" s="22" t="s">
        <v>1124</v>
      </c>
      <c r="B607" s="25">
        <v>9</v>
      </c>
      <c r="C607" s="25">
        <v>3</v>
      </c>
      <c r="D607" s="25">
        <v>1</v>
      </c>
      <c r="E607" s="25">
        <v>1</v>
      </c>
      <c r="F607" s="25">
        <v>1</v>
      </c>
      <c r="G607" s="25">
        <v>1</v>
      </c>
      <c r="H607" s="25">
        <v>1</v>
      </c>
      <c r="I607" s="24">
        <v>0.1111111111111111</v>
      </c>
      <c r="J607" s="24" t="s">
        <v>1233</v>
      </c>
      <c r="K607" s="24">
        <v>0</v>
      </c>
    </row>
    <row r="608" spans="1:11" hidden="1" x14ac:dyDescent="0.2">
      <c r="A608" s="22" t="s">
        <v>1125</v>
      </c>
      <c r="B608" s="25">
        <v>12</v>
      </c>
      <c r="C608" s="25">
        <v>5</v>
      </c>
      <c r="D608" s="25">
        <v>2</v>
      </c>
      <c r="E608" s="25">
        <v>2</v>
      </c>
      <c r="F608" s="25">
        <v>1</v>
      </c>
      <c r="G608" s="25">
        <v>1</v>
      </c>
      <c r="H608" s="25">
        <v>1</v>
      </c>
      <c r="I608" s="24">
        <v>8.3333333333333329E-2</v>
      </c>
      <c r="J608" s="24" t="s">
        <v>1233</v>
      </c>
      <c r="K608" s="24">
        <v>0</v>
      </c>
    </row>
    <row r="609" spans="1:11" x14ac:dyDescent="0.2">
      <c r="A609" s="22" t="s">
        <v>1126</v>
      </c>
      <c r="B609" s="25">
        <v>4</v>
      </c>
      <c r="C609" s="25">
        <v>3</v>
      </c>
      <c r="D609" s="25">
        <v>3</v>
      </c>
      <c r="E609" s="25">
        <v>3</v>
      </c>
      <c r="F609" s="25">
        <v>3</v>
      </c>
      <c r="G609" s="25">
        <v>3</v>
      </c>
      <c r="H609" s="25">
        <v>1</v>
      </c>
      <c r="I609" s="24">
        <v>0.25</v>
      </c>
      <c r="J609" s="24">
        <v>0.2857142857142857</v>
      </c>
      <c r="K609" s="24">
        <v>0.5714285714285714</v>
      </c>
    </row>
    <row r="610" spans="1:11" hidden="1" x14ac:dyDescent="0.2">
      <c r="A610" s="22" t="s">
        <v>1127</v>
      </c>
      <c r="B610" s="25">
        <v>63</v>
      </c>
      <c r="C610" s="25">
        <v>21</v>
      </c>
      <c r="D610" s="25">
        <v>12</v>
      </c>
      <c r="E610" s="25">
        <v>8</v>
      </c>
      <c r="F610" s="25">
        <v>5</v>
      </c>
      <c r="G610" s="25">
        <v>5</v>
      </c>
      <c r="H610" s="25">
        <v>1</v>
      </c>
      <c r="I610" s="24">
        <v>1.5873015873015872E-2</v>
      </c>
      <c r="J610" s="24">
        <v>5.5555555555555552E-2</v>
      </c>
      <c r="K610" s="24">
        <v>1.1666666666666667</v>
      </c>
    </row>
    <row r="611" spans="1:11" hidden="1" x14ac:dyDescent="0.2">
      <c r="A611" s="22" t="s">
        <v>1128</v>
      </c>
      <c r="B611" s="25">
        <v>22</v>
      </c>
      <c r="C611" s="25">
        <v>10</v>
      </c>
      <c r="D611" s="25">
        <v>6</v>
      </c>
      <c r="E611" s="25">
        <v>4</v>
      </c>
      <c r="F611" s="25">
        <v>2</v>
      </c>
      <c r="G611" s="25">
        <v>2</v>
      </c>
      <c r="H611" s="25">
        <v>1</v>
      </c>
      <c r="I611" s="24">
        <v>4.5454545454545456E-2</v>
      </c>
      <c r="J611" s="24" t="s">
        <v>1233</v>
      </c>
      <c r="K611" s="24">
        <v>0</v>
      </c>
    </row>
    <row r="612" spans="1:11" x14ac:dyDescent="0.2">
      <c r="A612" s="22" t="s">
        <v>1129</v>
      </c>
      <c r="B612" s="25">
        <v>4</v>
      </c>
      <c r="C612" s="25">
        <v>1</v>
      </c>
      <c r="D612" s="25">
        <v>1</v>
      </c>
      <c r="E612" s="25">
        <v>1</v>
      </c>
      <c r="F612" s="25">
        <v>1</v>
      </c>
      <c r="G612" s="25">
        <v>1</v>
      </c>
      <c r="H612" s="25">
        <v>1</v>
      </c>
      <c r="I612" s="24">
        <v>0.25</v>
      </c>
      <c r="J612" s="24" t="s">
        <v>1233</v>
      </c>
      <c r="K612" s="24">
        <v>0</v>
      </c>
    </row>
    <row r="613" spans="1:11" hidden="1" x14ac:dyDescent="0.2">
      <c r="A613" s="22" t="s">
        <v>1130</v>
      </c>
      <c r="B613" s="25">
        <v>9</v>
      </c>
      <c r="C613" s="25">
        <v>6</v>
      </c>
      <c r="D613" s="25">
        <v>4</v>
      </c>
      <c r="E613" s="25">
        <v>4</v>
      </c>
      <c r="F613" s="25">
        <v>2</v>
      </c>
      <c r="G613" s="25">
        <v>2</v>
      </c>
      <c r="H613" s="25">
        <v>1</v>
      </c>
      <c r="I613" s="24">
        <v>0.1111111111111111</v>
      </c>
      <c r="J613" s="24">
        <v>8.3333333333333329E-2</v>
      </c>
      <c r="K613" s="24">
        <v>0.75</v>
      </c>
    </row>
    <row r="614" spans="1:11" x14ac:dyDescent="0.2">
      <c r="A614" s="22" t="s">
        <v>1131</v>
      </c>
      <c r="B614" s="25">
        <v>7</v>
      </c>
      <c r="C614" s="25">
        <v>5</v>
      </c>
      <c r="D614" s="25">
        <v>4</v>
      </c>
      <c r="E614" s="25">
        <v>3</v>
      </c>
      <c r="F614" s="25">
        <v>1</v>
      </c>
      <c r="G614" s="25">
        <v>1</v>
      </c>
      <c r="H614" s="25">
        <v>1</v>
      </c>
      <c r="I614" s="24">
        <v>0.14285714285714285</v>
      </c>
      <c r="J614" s="24" t="s">
        <v>1233</v>
      </c>
      <c r="K614" s="24">
        <v>0</v>
      </c>
    </row>
    <row r="615" spans="1:11" hidden="1" x14ac:dyDescent="0.2">
      <c r="A615" s="22" t="s">
        <v>1132</v>
      </c>
      <c r="B615" s="25">
        <v>9</v>
      </c>
      <c r="C615" s="25">
        <v>8</v>
      </c>
      <c r="D615" s="25">
        <v>8</v>
      </c>
      <c r="E615" s="25">
        <v>6</v>
      </c>
      <c r="F615" s="25">
        <v>4</v>
      </c>
      <c r="G615" s="25">
        <v>4</v>
      </c>
      <c r="H615" s="25">
        <v>1</v>
      </c>
      <c r="I615" s="24">
        <v>0.1111111111111111</v>
      </c>
      <c r="J615" s="24" t="s">
        <v>1233</v>
      </c>
      <c r="K615" s="24">
        <v>0</v>
      </c>
    </row>
    <row r="616" spans="1:11" x14ac:dyDescent="0.2">
      <c r="A616" s="22" t="s">
        <v>1133</v>
      </c>
      <c r="B616" s="25">
        <v>4</v>
      </c>
      <c r="C616" s="25">
        <v>4</v>
      </c>
      <c r="D616" s="25">
        <v>2</v>
      </c>
      <c r="E616" s="25">
        <v>1</v>
      </c>
      <c r="F616" s="25">
        <v>1</v>
      </c>
      <c r="G616" s="25">
        <v>1</v>
      </c>
      <c r="H616" s="25">
        <v>1</v>
      </c>
      <c r="I616" s="24">
        <v>0.25</v>
      </c>
      <c r="J616" s="24" t="s">
        <v>1233</v>
      </c>
      <c r="K616" s="24">
        <v>0</v>
      </c>
    </row>
    <row r="617" spans="1:11" hidden="1" x14ac:dyDescent="0.2">
      <c r="A617" s="22" t="s">
        <v>1134</v>
      </c>
      <c r="B617" s="25">
        <v>9</v>
      </c>
      <c r="C617" s="25">
        <v>5</v>
      </c>
      <c r="D617" s="25">
        <v>4</v>
      </c>
      <c r="E617" s="25">
        <v>3</v>
      </c>
      <c r="F617" s="25">
        <v>2</v>
      </c>
      <c r="G617" s="25">
        <v>1</v>
      </c>
      <c r="H617" s="25">
        <v>1</v>
      </c>
      <c r="I617" s="24">
        <v>0.1111111111111111</v>
      </c>
      <c r="J617" s="24" t="s">
        <v>1233</v>
      </c>
      <c r="K617" s="24">
        <v>0</v>
      </c>
    </row>
    <row r="618" spans="1:11" x14ac:dyDescent="0.2">
      <c r="A618" s="22" t="s">
        <v>1135</v>
      </c>
      <c r="B618" s="25">
        <v>5</v>
      </c>
      <c r="C618" s="25">
        <v>2</v>
      </c>
      <c r="D618" s="25">
        <v>2</v>
      </c>
      <c r="E618" s="25">
        <v>2</v>
      </c>
      <c r="F618" s="25">
        <v>2</v>
      </c>
      <c r="G618" s="25">
        <v>2</v>
      </c>
      <c r="H618" s="25">
        <v>1</v>
      </c>
      <c r="I618" s="24">
        <v>0.2</v>
      </c>
      <c r="J618" s="24" t="s">
        <v>1233</v>
      </c>
      <c r="K618" s="24">
        <v>0</v>
      </c>
    </row>
    <row r="619" spans="1:11" hidden="1" x14ac:dyDescent="0.2">
      <c r="A619" s="22" t="s">
        <v>1136</v>
      </c>
      <c r="B619" s="25">
        <v>16</v>
      </c>
      <c r="C619" s="25">
        <v>11</v>
      </c>
      <c r="D619" s="25">
        <v>7</v>
      </c>
      <c r="E619" s="25">
        <v>7</v>
      </c>
      <c r="F619" s="25">
        <v>4</v>
      </c>
      <c r="G619" s="25">
        <v>3</v>
      </c>
      <c r="H619" s="25">
        <v>1</v>
      </c>
      <c r="I619" s="24">
        <v>6.25E-2</v>
      </c>
      <c r="J619" s="24" t="s">
        <v>1233</v>
      </c>
      <c r="K619" s="24">
        <v>0</v>
      </c>
    </row>
    <row r="620" spans="1:11" hidden="1" x14ac:dyDescent="0.2">
      <c r="A620" s="22" t="s">
        <v>281</v>
      </c>
      <c r="B620" s="25">
        <v>16</v>
      </c>
      <c r="C620" s="25">
        <v>11</v>
      </c>
      <c r="D620" s="25">
        <v>7</v>
      </c>
      <c r="E620" s="25">
        <v>5</v>
      </c>
      <c r="F620" s="25">
        <v>3</v>
      </c>
      <c r="G620" s="25">
        <v>3</v>
      </c>
      <c r="H620" s="25">
        <v>1</v>
      </c>
      <c r="I620" s="24">
        <v>6.25E-2</v>
      </c>
      <c r="J620" s="24" t="s">
        <v>1233</v>
      </c>
      <c r="K620" s="24">
        <v>0</v>
      </c>
    </row>
    <row r="621" spans="1:11" hidden="1" x14ac:dyDescent="0.2">
      <c r="A621" s="22" t="s">
        <v>1137</v>
      </c>
      <c r="B621" s="25">
        <v>13</v>
      </c>
      <c r="C621" s="25">
        <v>6</v>
      </c>
      <c r="D621" s="25">
        <v>4</v>
      </c>
      <c r="E621" s="25">
        <v>4</v>
      </c>
      <c r="F621" s="25">
        <v>3</v>
      </c>
      <c r="G621" s="25">
        <v>3</v>
      </c>
      <c r="H621" s="25">
        <v>1</v>
      </c>
      <c r="I621" s="24">
        <v>7.6923076923076927E-2</v>
      </c>
      <c r="J621" s="24">
        <v>0.1111111111111111</v>
      </c>
      <c r="K621" s="24">
        <v>1.4444444444444444</v>
      </c>
    </row>
    <row r="622" spans="1:11" x14ac:dyDescent="0.2">
      <c r="A622" s="22" t="s">
        <v>1138</v>
      </c>
      <c r="B622" s="25">
        <v>4</v>
      </c>
      <c r="C622" s="25">
        <v>2</v>
      </c>
      <c r="D622" s="25">
        <v>2</v>
      </c>
      <c r="E622" s="25">
        <v>2</v>
      </c>
      <c r="F622" s="25">
        <v>2</v>
      </c>
      <c r="G622" s="25">
        <v>2</v>
      </c>
      <c r="H622" s="25">
        <v>1</v>
      </c>
      <c r="I622" s="24">
        <v>0.25</v>
      </c>
      <c r="J622" s="24" t="s">
        <v>1233</v>
      </c>
      <c r="K622" s="24">
        <v>0</v>
      </c>
    </row>
    <row r="623" spans="1:11" x14ac:dyDescent="0.2">
      <c r="A623" s="22" t="s">
        <v>1139</v>
      </c>
      <c r="B623" s="25">
        <v>4</v>
      </c>
      <c r="C623" s="25">
        <v>2</v>
      </c>
      <c r="D623" s="25">
        <v>1</v>
      </c>
      <c r="E623" s="25">
        <v>1</v>
      </c>
      <c r="F623" s="25">
        <v>1</v>
      </c>
      <c r="G623" s="25">
        <v>1</v>
      </c>
      <c r="H623" s="25">
        <v>1</v>
      </c>
      <c r="I623" s="24">
        <v>0.25</v>
      </c>
      <c r="J623" s="24" t="s">
        <v>1233</v>
      </c>
      <c r="K623" s="24">
        <v>0</v>
      </c>
    </row>
    <row r="624" spans="1:11" hidden="1" x14ac:dyDescent="0.2">
      <c r="A624" s="22" t="s">
        <v>1140</v>
      </c>
      <c r="B624" s="25">
        <v>11</v>
      </c>
      <c r="C624" s="25">
        <v>8</v>
      </c>
      <c r="D624" s="25">
        <v>8</v>
      </c>
      <c r="E624" s="25">
        <v>7</v>
      </c>
      <c r="F624" s="25">
        <v>6</v>
      </c>
      <c r="G624" s="25">
        <v>6</v>
      </c>
      <c r="H624" s="25">
        <v>1</v>
      </c>
      <c r="I624" s="24">
        <v>9.0909090909090912E-2</v>
      </c>
      <c r="J624" s="24">
        <v>5.5555555555555552E-2</v>
      </c>
      <c r="K624" s="24">
        <v>0.61111111111111116</v>
      </c>
    </row>
    <row r="625" spans="1:11" hidden="1" x14ac:dyDescent="0.2">
      <c r="A625" s="22" t="s">
        <v>1141</v>
      </c>
      <c r="B625" s="25">
        <v>33</v>
      </c>
      <c r="C625" s="25">
        <v>20</v>
      </c>
      <c r="D625" s="25">
        <v>17</v>
      </c>
      <c r="E625" s="25">
        <v>14</v>
      </c>
      <c r="F625" s="25">
        <v>12</v>
      </c>
      <c r="G625" s="25">
        <v>11</v>
      </c>
      <c r="H625" s="25">
        <v>1</v>
      </c>
      <c r="I625" s="24">
        <v>3.0303030303030304E-2</v>
      </c>
      <c r="J625" s="24" t="s">
        <v>1233</v>
      </c>
      <c r="K625" s="24">
        <v>0</v>
      </c>
    </row>
    <row r="626" spans="1:11" hidden="1" x14ac:dyDescent="0.2">
      <c r="A626" s="22" t="s">
        <v>1142</v>
      </c>
      <c r="B626" s="25">
        <v>11</v>
      </c>
      <c r="C626" s="25">
        <v>6</v>
      </c>
      <c r="D626" s="25">
        <v>5</v>
      </c>
      <c r="E626" s="25">
        <v>4</v>
      </c>
      <c r="F626" s="25">
        <v>2</v>
      </c>
      <c r="G626" s="25">
        <v>2</v>
      </c>
      <c r="H626" s="25">
        <v>1</v>
      </c>
      <c r="I626" s="24">
        <v>9.0909090909090912E-2</v>
      </c>
      <c r="J626" s="24">
        <v>0.25</v>
      </c>
      <c r="K626" s="24">
        <v>1.375</v>
      </c>
    </row>
    <row r="627" spans="1:11" hidden="1" x14ac:dyDescent="0.2">
      <c r="A627" s="22" t="s">
        <v>1143</v>
      </c>
      <c r="B627" s="25">
        <v>10</v>
      </c>
      <c r="C627" s="25">
        <v>9</v>
      </c>
      <c r="D627" s="25">
        <v>7</v>
      </c>
      <c r="E627" s="25">
        <v>3</v>
      </c>
      <c r="F627" s="25">
        <v>3</v>
      </c>
      <c r="G627" s="25">
        <v>3</v>
      </c>
      <c r="H627" s="25">
        <v>1</v>
      </c>
      <c r="I627" s="24">
        <v>0.1</v>
      </c>
      <c r="J627" s="24" t="s">
        <v>1233</v>
      </c>
      <c r="K627" s="24">
        <v>0</v>
      </c>
    </row>
    <row r="628" spans="1:11" hidden="1" x14ac:dyDescent="0.2">
      <c r="A628" s="22" t="s">
        <v>1144</v>
      </c>
      <c r="B628" s="25">
        <v>49</v>
      </c>
      <c r="C628" s="25">
        <v>20</v>
      </c>
      <c r="D628" s="25">
        <v>9</v>
      </c>
      <c r="E628" s="25">
        <v>9</v>
      </c>
      <c r="F628" s="25">
        <v>7</v>
      </c>
      <c r="G628" s="25">
        <v>7</v>
      </c>
      <c r="H628" s="25">
        <v>1</v>
      </c>
      <c r="I628" s="24">
        <v>2.0408163265306121E-2</v>
      </c>
      <c r="J628" s="24">
        <v>0.08</v>
      </c>
      <c r="K628" s="24">
        <v>1.96</v>
      </c>
    </row>
    <row r="629" spans="1:11" x14ac:dyDescent="0.2">
      <c r="A629" s="22" t="s">
        <v>1145</v>
      </c>
      <c r="B629" s="25">
        <v>8</v>
      </c>
      <c r="C629" s="25">
        <v>4</v>
      </c>
      <c r="D629" s="25">
        <v>3</v>
      </c>
      <c r="E629" s="25">
        <v>2</v>
      </c>
      <c r="F629" s="25">
        <v>1</v>
      </c>
      <c r="G629" s="25">
        <v>1</v>
      </c>
      <c r="H629" s="25">
        <v>1</v>
      </c>
      <c r="I629" s="24">
        <v>0.125</v>
      </c>
      <c r="J629" s="24" t="s">
        <v>1233</v>
      </c>
      <c r="K629" s="24">
        <v>0</v>
      </c>
    </row>
    <row r="630" spans="1:11" x14ac:dyDescent="0.2">
      <c r="A630" s="22" t="s">
        <v>1146</v>
      </c>
      <c r="B630" s="25">
        <v>8</v>
      </c>
      <c r="C630" s="25">
        <v>4</v>
      </c>
      <c r="D630" s="25">
        <v>3</v>
      </c>
      <c r="E630" s="25">
        <v>3</v>
      </c>
      <c r="F630" s="25">
        <v>3</v>
      </c>
      <c r="G630" s="25">
        <v>2</v>
      </c>
      <c r="H630" s="25">
        <v>1</v>
      </c>
      <c r="I630" s="24">
        <v>0.125</v>
      </c>
      <c r="J630" s="24" t="s">
        <v>1233</v>
      </c>
      <c r="K630" s="24">
        <v>0</v>
      </c>
    </row>
    <row r="631" spans="1:11" x14ac:dyDescent="0.2">
      <c r="A631" s="22" t="s">
        <v>1147</v>
      </c>
      <c r="B631" s="25">
        <v>3</v>
      </c>
      <c r="C631" s="25">
        <v>2</v>
      </c>
      <c r="D631" s="25">
        <v>2</v>
      </c>
      <c r="E631" s="25">
        <v>2</v>
      </c>
      <c r="F631" s="25">
        <v>1</v>
      </c>
      <c r="G631" s="25">
        <v>1</v>
      </c>
      <c r="H631" s="25">
        <v>1</v>
      </c>
      <c r="I631" s="24">
        <v>0.33333333333333331</v>
      </c>
      <c r="J631" s="24" t="s">
        <v>1233</v>
      </c>
      <c r="K631" s="24">
        <v>0</v>
      </c>
    </row>
    <row r="632" spans="1:11" hidden="1" x14ac:dyDescent="0.2">
      <c r="A632" s="22" t="s">
        <v>1148</v>
      </c>
      <c r="B632" s="25">
        <v>22</v>
      </c>
      <c r="C632" s="25">
        <v>15</v>
      </c>
      <c r="D632" s="25">
        <v>10</v>
      </c>
      <c r="E632" s="25">
        <v>9</v>
      </c>
      <c r="F632" s="25">
        <v>6</v>
      </c>
      <c r="G632" s="25">
        <v>6</v>
      </c>
      <c r="H632" s="25">
        <v>1</v>
      </c>
      <c r="I632" s="24">
        <v>4.5454545454545456E-2</v>
      </c>
      <c r="J632" s="24" t="s">
        <v>1233</v>
      </c>
      <c r="K632" s="24">
        <v>0</v>
      </c>
    </row>
    <row r="633" spans="1:11" hidden="1" x14ac:dyDescent="0.2">
      <c r="A633" s="22" t="s">
        <v>1149</v>
      </c>
      <c r="B633" s="25">
        <v>17</v>
      </c>
      <c r="C633" s="25">
        <v>14</v>
      </c>
      <c r="D633" s="25">
        <v>6</v>
      </c>
      <c r="E633" s="25">
        <v>6</v>
      </c>
      <c r="F633" s="25">
        <v>2</v>
      </c>
      <c r="G633" s="25">
        <v>2</v>
      </c>
      <c r="H633" s="25">
        <v>1</v>
      </c>
      <c r="I633" s="24">
        <v>5.8823529411764705E-2</v>
      </c>
      <c r="J633" s="24" t="s">
        <v>1233</v>
      </c>
      <c r="K633" s="24">
        <v>0</v>
      </c>
    </row>
    <row r="634" spans="1:11" x14ac:dyDescent="0.2">
      <c r="A634" s="22" t="s">
        <v>1150</v>
      </c>
      <c r="B634" s="25">
        <v>6</v>
      </c>
      <c r="C634" s="25">
        <v>4</v>
      </c>
      <c r="D634" s="25">
        <v>3</v>
      </c>
      <c r="E634" s="25">
        <v>2</v>
      </c>
      <c r="F634" s="25">
        <v>2</v>
      </c>
      <c r="G634" s="25">
        <v>2</v>
      </c>
      <c r="H634" s="25">
        <v>1</v>
      </c>
      <c r="I634" s="24">
        <v>0.16666666666666666</v>
      </c>
      <c r="J634" s="24">
        <v>5.8823529411764705E-2</v>
      </c>
      <c r="K634" s="24">
        <v>0.35294117647058826</v>
      </c>
    </row>
    <row r="635" spans="1:11" hidden="1" x14ac:dyDescent="0.2">
      <c r="A635" s="22" t="s">
        <v>1151</v>
      </c>
      <c r="B635" s="25">
        <v>10</v>
      </c>
      <c r="C635" s="25">
        <v>5</v>
      </c>
      <c r="D635" s="25">
        <v>3</v>
      </c>
      <c r="E635" s="25">
        <v>3</v>
      </c>
      <c r="F635" s="25">
        <v>1</v>
      </c>
      <c r="G635" s="25">
        <v>1</v>
      </c>
      <c r="H635" s="25">
        <v>1</v>
      </c>
      <c r="I635" s="24">
        <v>0.1</v>
      </c>
      <c r="J635" s="24" t="s">
        <v>1233</v>
      </c>
      <c r="K635" s="24">
        <v>0</v>
      </c>
    </row>
    <row r="636" spans="1:11" hidden="1" x14ac:dyDescent="0.2">
      <c r="A636" s="22" t="s">
        <v>1152</v>
      </c>
      <c r="B636" s="25">
        <v>20</v>
      </c>
      <c r="C636" s="25">
        <v>10</v>
      </c>
      <c r="D636" s="25">
        <v>6</v>
      </c>
      <c r="E636" s="25">
        <v>3</v>
      </c>
      <c r="F636" s="25">
        <v>3</v>
      </c>
      <c r="G636" s="25">
        <v>2</v>
      </c>
      <c r="H636" s="25">
        <v>1</v>
      </c>
      <c r="I636" s="24">
        <v>0.05</v>
      </c>
      <c r="J636" s="24">
        <v>3.0303030303030304E-2</v>
      </c>
      <c r="K636" s="24">
        <v>0.60606060606060608</v>
      </c>
    </row>
    <row r="637" spans="1:11" hidden="1" x14ac:dyDescent="0.2">
      <c r="A637" s="22" t="s">
        <v>1153</v>
      </c>
      <c r="B637" s="25">
        <v>9</v>
      </c>
      <c r="C637" s="25">
        <v>3</v>
      </c>
      <c r="D637" s="25">
        <v>2</v>
      </c>
      <c r="E637" s="25">
        <v>2</v>
      </c>
      <c r="F637" s="25">
        <v>1</v>
      </c>
      <c r="G637" s="25">
        <v>1</v>
      </c>
      <c r="H637" s="25">
        <v>1</v>
      </c>
      <c r="I637" s="24">
        <v>0.1111111111111111</v>
      </c>
      <c r="J637" s="24" t="s">
        <v>1233</v>
      </c>
      <c r="K637" s="24">
        <v>0</v>
      </c>
    </row>
    <row r="638" spans="1:11" hidden="1" x14ac:dyDescent="0.2">
      <c r="A638" s="22" t="s">
        <v>1154</v>
      </c>
      <c r="B638" s="25">
        <v>17</v>
      </c>
      <c r="C638" s="25">
        <v>16</v>
      </c>
      <c r="D638" s="25">
        <v>11</v>
      </c>
      <c r="E638" s="25">
        <v>11</v>
      </c>
      <c r="F638" s="25">
        <v>9</v>
      </c>
      <c r="G638" s="25">
        <v>8</v>
      </c>
      <c r="H638" s="25">
        <v>1</v>
      </c>
      <c r="I638" s="24">
        <v>5.8823529411764705E-2</v>
      </c>
      <c r="J638" s="24">
        <v>0.2</v>
      </c>
      <c r="K638" s="24">
        <v>3.4</v>
      </c>
    </row>
    <row r="639" spans="1:11" hidden="1" x14ac:dyDescent="0.2">
      <c r="A639" s="22" t="s">
        <v>1155</v>
      </c>
      <c r="B639" s="25">
        <v>10</v>
      </c>
      <c r="C639" s="25">
        <v>5</v>
      </c>
      <c r="D639" s="25">
        <v>4</v>
      </c>
      <c r="E639" s="25">
        <v>3</v>
      </c>
      <c r="F639" s="25">
        <v>2</v>
      </c>
      <c r="G639" s="25">
        <v>1</v>
      </c>
      <c r="H639" s="25">
        <v>1</v>
      </c>
      <c r="I639" s="24">
        <v>0.1</v>
      </c>
      <c r="J639" s="24" t="s">
        <v>1233</v>
      </c>
      <c r="K639" s="24">
        <v>0</v>
      </c>
    </row>
    <row r="640" spans="1:11" hidden="1" x14ac:dyDescent="0.2">
      <c r="A640" s="22" t="s">
        <v>1156</v>
      </c>
      <c r="B640" s="25">
        <v>55</v>
      </c>
      <c r="C640" s="25">
        <v>35</v>
      </c>
      <c r="D640" s="25">
        <v>22</v>
      </c>
      <c r="E640" s="25">
        <v>19</v>
      </c>
      <c r="F640" s="25">
        <v>16</v>
      </c>
      <c r="G640" s="25">
        <v>16</v>
      </c>
      <c r="H640" s="25">
        <v>1</v>
      </c>
      <c r="I640" s="24">
        <v>1.8181818181818181E-2</v>
      </c>
      <c r="J640" s="24">
        <v>6.4516129032258063E-2</v>
      </c>
      <c r="K640" s="24">
        <v>1.7741935483870968</v>
      </c>
    </row>
    <row r="641" spans="1:11" hidden="1" x14ac:dyDescent="0.2">
      <c r="A641" s="22" t="s">
        <v>1157</v>
      </c>
      <c r="B641" s="25">
        <v>26</v>
      </c>
      <c r="C641" s="25">
        <v>14</v>
      </c>
      <c r="D641" s="25">
        <v>8</v>
      </c>
      <c r="E641" s="25">
        <v>6</v>
      </c>
      <c r="F641" s="25">
        <v>4</v>
      </c>
      <c r="G641" s="25">
        <v>3</v>
      </c>
      <c r="H641" s="25">
        <v>1</v>
      </c>
      <c r="I641" s="24">
        <v>3.8461538461538464E-2</v>
      </c>
      <c r="J641" s="24" t="s">
        <v>1233</v>
      </c>
      <c r="K641" s="24">
        <v>0</v>
      </c>
    </row>
    <row r="642" spans="1:11" hidden="1" x14ac:dyDescent="0.2">
      <c r="A642" s="22" t="s">
        <v>1158</v>
      </c>
      <c r="B642" s="25">
        <v>10</v>
      </c>
      <c r="C642" s="25">
        <v>6</v>
      </c>
      <c r="D642" s="25">
        <v>3</v>
      </c>
      <c r="E642" s="25">
        <v>3</v>
      </c>
      <c r="F642" s="25">
        <v>3</v>
      </c>
      <c r="G642" s="25">
        <v>3</v>
      </c>
      <c r="H642" s="25">
        <v>1</v>
      </c>
      <c r="I642" s="24">
        <v>0.1</v>
      </c>
      <c r="J642" s="24">
        <v>4.3202033036848796E-2</v>
      </c>
      <c r="K642" s="24">
        <v>1.2706480304955527E-2</v>
      </c>
    </row>
    <row r="643" spans="1:11" x14ac:dyDescent="0.2">
      <c r="A643" s="22" t="s">
        <v>1159</v>
      </c>
      <c r="B643" s="25">
        <v>5</v>
      </c>
      <c r="C643" s="25">
        <v>1</v>
      </c>
      <c r="D643" s="25">
        <v>1</v>
      </c>
      <c r="E643" s="25">
        <v>1</v>
      </c>
      <c r="F643" s="25">
        <v>1</v>
      </c>
      <c r="G643" s="25">
        <v>1</v>
      </c>
      <c r="H643" s="25">
        <v>1</v>
      </c>
      <c r="I643" s="24">
        <v>0.2</v>
      </c>
      <c r="J643" s="24" t="s">
        <v>1233</v>
      </c>
      <c r="K643" s="24">
        <v>0</v>
      </c>
    </row>
    <row r="644" spans="1:11" x14ac:dyDescent="0.2">
      <c r="A644" s="22" t="s">
        <v>1160</v>
      </c>
      <c r="B644" s="25">
        <v>7</v>
      </c>
      <c r="C644" s="25">
        <v>4</v>
      </c>
      <c r="D644" s="25">
        <v>1</v>
      </c>
      <c r="E644" s="25">
        <v>1</v>
      </c>
      <c r="F644" s="25">
        <v>1</v>
      </c>
      <c r="G644" s="25">
        <v>1</v>
      </c>
      <c r="H644" s="25">
        <v>1</v>
      </c>
      <c r="I644" s="24">
        <v>0.14285714285714285</v>
      </c>
      <c r="J644" s="24" t="s">
        <v>1233</v>
      </c>
      <c r="K644" s="24">
        <v>0</v>
      </c>
    </row>
    <row r="645" spans="1:11" x14ac:dyDescent="0.2">
      <c r="A645" s="22" t="s">
        <v>1161</v>
      </c>
      <c r="B645" s="25">
        <v>4</v>
      </c>
      <c r="C645" s="25">
        <v>2</v>
      </c>
      <c r="D645" s="25">
        <v>2</v>
      </c>
      <c r="E645" s="25">
        <v>1</v>
      </c>
      <c r="F645" s="25">
        <v>1</v>
      </c>
      <c r="G645" s="25">
        <v>1</v>
      </c>
      <c r="H645" s="25">
        <v>1</v>
      </c>
      <c r="I645" s="24">
        <v>0.25</v>
      </c>
      <c r="J645" s="24" t="s">
        <v>1233</v>
      </c>
      <c r="K645" s="24">
        <v>0</v>
      </c>
    </row>
    <row r="646" spans="1:11" hidden="1" x14ac:dyDescent="0.2">
      <c r="A646" s="22" t="s">
        <v>1162</v>
      </c>
      <c r="B646" s="25">
        <v>30</v>
      </c>
      <c r="C646" s="25">
        <v>17</v>
      </c>
      <c r="D646" s="25">
        <v>11</v>
      </c>
      <c r="E646" s="25">
        <v>9</v>
      </c>
      <c r="F646" s="25">
        <v>7</v>
      </c>
      <c r="G646" s="25">
        <v>7</v>
      </c>
      <c r="H646" s="25">
        <v>1</v>
      </c>
      <c r="I646" s="24">
        <v>3.3333333333333333E-2</v>
      </c>
      <c r="J646" s="24" t="s">
        <v>1233</v>
      </c>
      <c r="K646" s="24">
        <v>0</v>
      </c>
    </row>
    <row r="647" spans="1:11" hidden="1" x14ac:dyDescent="0.2">
      <c r="A647" s="22" t="s">
        <v>1163</v>
      </c>
      <c r="B647" s="25">
        <v>19</v>
      </c>
      <c r="C647" s="25">
        <v>12</v>
      </c>
      <c r="D647" s="25">
        <v>9</v>
      </c>
      <c r="E647" s="25">
        <v>8</v>
      </c>
      <c r="F647" s="25">
        <v>5</v>
      </c>
      <c r="G647" s="25">
        <v>5</v>
      </c>
      <c r="H647" s="25">
        <v>1</v>
      </c>
      <c r="I647" s="24">
        <v>5.2631578947368418E-2</v>
      </c>
      <c r="J647" s="24" t="s">
        <v>1233</v>
      </c>
      <c r="K647" s="24">
        <v>0</v>
      </c>
    </row>
    <row r="648" spans="1:11" hidden="1" x14ac:dyDescent="0.2">
      <c r="A648" s="22" t="s">
        <v>1164</v>
      </c>
      <c r="B648" s="25">
        <v>24</v>
      </c>
      <c r="C648" s="25">
        <v>14</v>
      </c>
      <c r="D648" s="25">
        <v>7</v>
      </c>
      <c r="E648" s="25">
        <v>7</v>
      </c>
      <c r="F648" s="25">
        <v>4</v>
      </c>
      <c r="G648" s="25">
        <v>4</v>
      </c>
      <c r="H648" s="25">
        <v>1</v>
      </c>
      <c r="I648" s="24">
        <v>4.1666666666666664E-2</v>
      </c>
      <c r="J648" s="24">
        <v>0.08</v>
      </c>
      <c r="K648" s="24">
        <v>0.96</v>
      </c>
    </row>
    <row r="649" spans="1:11" hidden="1" x14ac:dyDescent="0.2">
      <c r="A649" s="22" t="s">
        <v>1165</v>
      </c>
      <c r="B649" s="25">
        <v>21</v>
      </c>
      <c r="C649" s="25">
        <v>5</v>
      </c>
      <c r="D649" s="25">
        <v>4</v>
      </c>
      <c r="E649" s="25">
        <v>4</v>
      </c>
      <c r="F649" s="25">
        <v>2</v>
      </c>
      <c r="G649" s="25">
        <v>2</v>
      </c>
      <c r="H649" s="25">
        <v>1</v>
      </c>
      <c r="I649" s="24">
        <v>4.7619047619047616E-2</v>
      </c>
      <c r="J649" s="24">
        <v>0.1</v>
      </c>
      <c r="K649" s="24">
        <v>2.1</v>
      </c>
    </row>
    <row r="650" spans="1:11" x14ac:dyDescent="0.2">
      <c r="A650" s="22" t="s">
        <v>1166</v>
      </c>
      <c r="B650" s="25">
        <v>7</v>
      </c>
      <c r="C650" s="25">
        <v>5</v>
      </c>
      <c r="D650" s="25">
        <v>5</v>
      </c>
      <c r="E650" s="25">
        <v>4</v>
      </c>
      <c r="F650" s="25">
        <v>3</v>
      </c>
      <c r="G650" s="25">
        <v>3</v>
      </c>
      <c r="H650" s="25">
        <v>1</v>
      </c>
      <c r="I650" s="24">
        <v>0.14285714285714285</v>
      </c>
      <c r="J650" s="24" t="s">
        <v>1233</v>
      </c>
      <c r="K650" s="24">
        <v>0</v>
      </c>
    </row>
    <row r="651" spans="1:11" hidden="1" x14ac:dyDescent="0.2">
      <c r="A651" s="22" t="s">
        <v>1167</v>
      </c>
      <c r="B651" s="25">
        <v>12</v>
      </c>
      <c r="C651" s="25">
        <v>8</v>
      </c>
      <c r="D651" s="25">
        <v>4</v>
      </c>
      <c r="E651" s="25">
        <v>4</v>
      </c>
      <c r="F651" s="25">
        <v>2</v>
      </c>
      <c r="G651" s="25">
        <v>2</v>
      </c>
      <c r="H651" s="25">
        <v>1</v>
      </c>
      <c r="I651" s="24">
        <v>8.3333333333333329E-2</v>
      </c>
      <c r="J651" s="24" t="s">
        <v>1233</v>
      </c>
      <c r="K651" s="24">
        <v>0</v>
      </c>
    </row>
    <row r="652" spans="1:11" x14ac:dyDescent="0.2">
      <c r="A652" s="22" t="s">
        <v>1168</v>
      </c>
      <c r="B652" s="25">
        <v>3</v>
      </c>
      <c r="C652" s="25">
        <v>2</v>
      </c>
      <c r="D652" s="25">
        <v>1</v>
      </c>
      <c r="E652" s="25">
        <v>1</v>
      </c>
      <c r="F652" s="25">
        <v>1</v>
      </c>
      <c r="G652" s="25">
        <v>1</v>
      </c>
      <c r="H652" s="25">
        <v>1</v>
      </c>
      <c r="I652" s="24">
        <v>0.33333333333333331</v>
      </c>
      <c r="J652" s="24" t="s">
        <v>1233</v>
      </c>
      <c r="K652" s="24">
        <v>0</v>
      </c>
    </row>
    <row r="653" spans="1:11" x14ac:dyDescent="0.2">
      <c r="A653" s="22" t="s">
        <v>1169</v>
      </c>
      <c r="B653" s="25">
        <v>6</v>
      </c>
      <c r="C653" s="25">
        <v>5</v>
      </c>
      <c r="D653" s="25">
        <v>3</v>
      </c>
      <c r="E653" s="25">
        <v>1</v>
      </c>
      <c r="F653" s="25">
        <v>1</v>
      </c>
      <c r="G653" s="25">
        <v>1</v>
      </c>
      <c r="H653" s="25">
        <v>1</v>
      </c>
      <c r="I653" s="24">
        <v>0.16666666666666666</v>
      </c>
      <c r="J653" s="24">
        <v>0.2</v>
      </c>
      <c r="K653" s="24">
        <v>1.2</v>
      </c>
    </row>
    <row r="654" spans="1:11" hidden="1" x14ac:dyDescent="0.2">
      <c r="A654" s="22" t="s">
        <v>328</v>
      </c>
      <c r="B654" s="25">
        <v>29</v>
      </c>
      <c r="C654" s="25">
        <v>12</v>
      </c>
      <c r="D654" s="25">
        <v>7</v>
      </c>
      <c r="E654" s="25">
        <v>6</v>
      </c>
      <c r="F654" s="25">
        <v>5</v>
      </c>
      <c r="G654" s="25">
        <v>5</v>
      </c>
      <c r="H654" s="25">
        <v>1</v>
      </c>
      <c r="I654" s="24">
        <v>3.4482758620689655E-2</v>
      </c>
      <c r="J654" s="24">
        <v>4.1666666666666664E-2</v>
      </c>
      <c r="K654" s="24">
        <v>1.2083333333333333</v>
      </c>
    </row>
    <row r="655" spans="1:11" x14ac:dyDescent="0.2">
      <c r="A655" s="22" t="s">
        <v>1170</v>
      </c>
      <c r="B655" s="25">
        <v>4</v>
      </c>
      <c r="C655" s="25">
        <v>1</v>
      </c>
      <c r="D655" s="25">
        <v>1</v>
      </c>
      <c r="E655" s="25">
        <v>1</v>
      </c>
      <c r="F655" s="25">
        <v>1</v>
      </c>
      <c r="G655" s="25">
        <v>1</v>
      </c>
      <c r="H655" s="25">
        <v>1</v>
      </c>
      <c r="I655" s="24">
        <v>0.25</v>
      </c>
      <c r="J655" s="24" t="s">
        <v>1233</v>
      </c>
      <c r="K655" s="24">
        <v>0</v>
      </c>
    </row>
    <row r="656" spans="1:11" x14ac:dyDescent="0.2">
      <c r="A656" s="22" t="s">
        <v>1171</v>
      </c>
      <c r="B656" s="25">
        <v>4</v>
      </c>
      <c r="C656" s="25">
        <v>3</v>
      </c>
      <c r="D656" s="25">
        <v>2</v>
      </c>
      <c r="E656" s="25">
        <v>2</v>
      </c>
      <c r="F656" s="25">
        <v>1</v>
      </c>
      <c r="G656" s="25">
        <v>1</v>
      </c>
      <c r="H656" s="25">
        <v>1</v>
      </c>
      <c r="I656" s="24">
        <v>0.25</v>
      </c>
      <c r="J656" s="24" t="s">
        <v>1233</v>
      </c>
      <c r="K656" s="24">
        <v>0</v>
      </c>
    </row>
    <row r="657" spans="1:11" x14ac:dyDescent="0.2">
      <c r="A657" s="22" t="s">
        <v>1172</v>
      </c>
      <c r="B657" s="25">
        <v>4</v>
      </c>
      <c r="C657" s="25">
        <v>3</v>
      </c>
      <c r="D657" s="25">
        <v>2</v>
      </c>
      <c r="E657" s="25">
        <v>1</v>
      </c>
      <c r="F657" s="25">
        <v>1</v>
      </c>
      <c r="G657" s="25">
        <v>1</v>
      </c>
      <c r="H657" s="25">
        <v>1</v>
      </c>
      <c r="I657" s="24">
        <v>0.25</v>
      </c>
      <c r="J657" s="24" t="s">
        <v>1233</v>
      </c>
      <c r="K657" s="24">
        <v>0</v>
      </c>
    </row>
    <row r="658" spans="1:11" x14ac:dyDescent="0.2">
      <c r="A658" s="22" t="s">
        <v>1173</v>
      </c>
      <c r="B658" s="25">
        <v>5</v>
      </c>
      <c r="C658" s="25">
        <v>2</v>
      </c>
      <c r="D658" s="25">
        <v>2</v>
      </c>
      <c r="E658" s="25">
        <v>2</v>
      </c>
      <c r="F658" s="25">
        <v>2</v>
      </c>
      <c r="G658" s="25">
        <v>2</v>
      </c>
      <c r="H658" s="25">
        <v>1</v>
      </c>
      <c r="I658" s="24">
        <v>0.2</v>
      </c>
      <c r="J658" s="24">
        <v>0.2</v>
      </c>
      <c r="K658" s="24">
        <v>0.5</v>
      </c>
    </row>
    <row r="659" spans="1:11" hidden="1" x14ac:dyDescent="0.2">
      <c r="A659" s="22" t="s">
        <v>1174</v>
      </c>
      <c r="B659" s="25">
        <v>80</v>
      </c>
      <c r="C659" s="25">
        <v>39</v>
      </c>
      <c r="D659" s="25">
        <v>27</v>
      </c>
      <c r="E659" s="25">
        <v>24</v>
      </c>
      <c r="F659" s="25">
        <v>17</v>
      </c>
      <c r="G659" s="25">
        <v>16</v>
      </c>
      <c r="H659" s="25">
        <v>1</v>
      </c>
      <c r="I659" s="24">
        <v>1.2500000000000001E-2</v>
      </c>
      <c r="J659" s="24" t="s">
        <v>1233</v>
      </c>
      <c r="K659" s="24">
        <v>0</v>
      </c>
    </row>
    <row r="660" spans="1:11" hidden="1" x14ac:dyDescent="0.2">
      <c r="A660" s="22" t="s">
        <v>1175</v>
      </c>
      <c r="B660" s="25">
        <v>13</v>
      </c>
      <c r="C660" s="25">
        <v>9</v>
      </c>
      <c r="D660" s="25">
        <v>3</v>
      </c>
      <c r="E660" s="25">
        <v>3</v>
      </c>
      <c r="F660" s="25">
        <v>1</v>
      </c>
      <c r="G660" s="25">
        <v>1</v>
      </c>
      <c r="H660" s="25">
        <v>1</v>
      </c>
      <c r="I660" s="24">
        <v>7.6923076923076927E-2</v>
      </c>
      <c r="J660" s="24">
        <v>4.5454545454545456E-2</v>
      </c>
      <c r="K660" s="24">
        <v>0.59090909090909094</v>
      </c>
    </row>
    <row r="661" spans="1:11" hidden="1" x14ac:dyDescent="0.2">
      <c r="A661" s="22" t="s">
        <v>1176</v>
      </c>
      <c r="B661" s="25">
        <v>12</v>
      </c>
      <c r="C661" s="25">
        <v>9</v>
      </c>
      <c r="D661" s="25">
        <v>7</v>
      </c>
      <c r="E661" s="25">
        <v>7</v>
      </c>
      <c r="F661" s="25">
        <v>6</v>
      </c>
      <c r="G661" s="25">
        <v>5</v>
      </c>
      <c r="H661" s="25">
        <v>1</v>
      </c>
      <c r="I661" s="24">
        <v>8.3333333333333329E-2</v>
      </c>
      <c r="J661" s="24">
        <v>0.16216216216216217</v>
      </c>
      <c r="K661" s="24">
        <v>0.32432432432432434</v>
      </c>
    </row>
    <row r="662" spans="1:11" x14ac:dyDescent="0.2">
      <c r="A662" s="22" t="s">
        <v>1177</v>
      </c>
      <c r="B662" s="25">
        <v>7</v>
      </c>
      <c r="C662" s="25">
        <v>6</v>
      </c>
      <c r="D662" s="25">
        <v>5</v>
      </c>
      <c r="E662" s="25">
        <v>4</v>
      </c>
      <c r="F662" s="25">
        <v>4</v>
      </c>
      <c r="G662" s="25">
        <v>4</v>
      </c>
      <c r="H662" s="25">
        <v>1</v>
      </c>
      <c r="I662" s="24">
        <v>0.14285714285714285</v>
      </c>
      <c r="J662" s="24">
        <v>6.25E-2</v>
      </c>
      <c r="K662" s="24">
        <v>0.4375</v>
      </c>
    </row>
    <row r="663" spans="1:11" hidden="1" x14ac:dyDescent="0.2">
      <c r="A663" s="22" t="s">
        <v>1178</v>
      </c>
      <c r="B663" s="25">
        <v>20</v>
      </c>
      <c r="C663" s="25">
        <v>15</v>
      </c>
      <c r="D663" s="25">
        <v>7</v>
      </c>
      <c r="E663" s="25">
        <v>7</v>
      </c>
      <c r="F663" s="25">
        <v>6</v>
      </c>
      <c r="G663" s="25">
        <v>6</v>
      </c>
      <c r="H663" s="25">
        <v>1</v>
      </c>
      <c r="I663" s="24">
        <v>0.05</v>
      </c>
      <c r="J663" s="24">
        <v>0.14035087719298245</v>
      </c>
      <c r="K663" s="24">
        <v>0.35087719298245612</v>
      </c>
    </row>
    <row r="664" spans="1:11" hidden="1" x14ac:dyDescent="0.2">
      <c r="A664" s="22" t="s">
        <v>1179</v>
      </c>
      <c r="B664" s="25">
        <v>15</v>
      </c>
      <c r="C664" s="25">
        <v>7</v>
      </c>
      <c r="D664" s="25">
        <v>5</v>
      </c>
      <c r="E664" s="25">
        <v>4</v>
      </c>
      <c r="F664" s="25">
        <v>3</v>
      </c>
      <c r="G664" s="25">
        <v>3</v>
      </c>
      <c r="H664" s="25">
        <v>1</v>
      </c>
      <c r="I664" s="24">
        <v>6.6666666666666666E-2</v>
      </c>
      <c r="J664" s="24" t="s">
        <v>1233</v>
      </c>
      <c r="K664" s="24">
        <v>0</v>
      </c>
    </row>
    <row r="665" spans="1:11" hidden="1" x14ac:dyDescent="0.2">
      <c r="A665" s="22" t="s">
        <v>1180</v>
      </c>
      <c r="B665" s="25">
        <v>23</v>
      </c>
      <c r="C665" s="25">
        <v>15</v>
      </c>
      <c r="D665" s="25">
        <v>5</v>
      </c>
      <c r="E665" s="25">
        <v>5</v>
      </c>
      <c r="F665" s="25">
        <v>5</v>
      </c>
      <c r="G665" s="25">
        <v>5</v>
      </c>
      <c r="H665" s="25">
        <v>1</v>
      </c>
      <c r="I665" s="24">
        <v>4.3478260869565216E-2</v>
      </c>
      <c r="J665" s="24">
        <v>0.14285714285714285</v>
      </c>
      <c r="K665" s="24">
        <v>0.54761904761904767</v>
      </c>
    </row>
    <row r="666" spans="1:11" hidden="1" x14ac:dyDescent="0.2">
      <c r="A666" s="22" t="s">
        <v>1181</v>
      </c>
      <c r="B666" s="25">
        <v>12</v>
      </c>
      <c r="C666" s="25">
        <v>4</v>
      </c>
      <c r="D666" s="25">
        <v>3</v>
      </c>
      <c r="E666" s="25">
        <v>3</v>
      </c>
      <c r="F666" s="25">
        <v>1</v>
      </c>
      <c r="G666" s="25">
        <v>1</v>
      </c>
      <c r="H666" s="25">
        <v>1</v>
      </c>
      <c r="I666" s="24">
        <v>8.3333333333333329E-2</v>
      </c>
      <c r="J666" s="24" t="s">
        <v>1233</v>
      </c>
      <c r="K666" s="24">
        <v>0</v>
      </c>
    </row>
    <row r="667" spans="1:11" hidden="1" x14ac:dyDescent="0.2">
      <c r="A667" s="22" t="s">
        <v>1182</v>
      </c>
      <c r="B667" s="25">
        <v>22</v>
      </c>
      <c r="C667" s="25">
        <v>13</v>
      </c>
      <c r="D667" s="25">
        <v>9</v>
      </c>
      <c r="E667" s="25">
        <v>8</v>
      </c>
      <c r="F667" s="25">
        <v>4</v>
      </c>
      <c r="G667" s="25">
        <v>4</v>
      </c>
      <c r="H667" s="25">
        <v>1</v>
      </c>
      <c r="I667" s="24">
        <v>4.5454545454545456E-2</v>
      </c>
      <c r="J667" s="24" t="s">
        <v>1233</v>
      </c>
      <c r="K667" s="24">
        <v>0</v>
      </c>
    </row>
    <row r="668" spans="1:11" x14ac:dyDescent="0.2">
      <c r="A668" s="22" t="s">
        <v>1183</v>
      </c>
      <c r="B668" s="25">
        <v>4</v>
      </c>
      <c r="C668" s="25">
        <v>3</v>
      </c>
      <c r="D668" s="25">
        <v>3</v>
      </c>
      <c r="E668" s="25">
        <v>2</v>
      </c>
      <c r="F668" s="25">
        <v>1</v>
      </c>
      <c r="G668" s="25">
        <v>1</v>
      </c>
      <c r="H668" s="25">
        <v>1</v>
      </c>
      <c r="I668" s="24">
        <v>0.25</v>
      </c>
      <c r="J668" s="24" t="s">
        <v>1233</v>
      </c>
      <c r="K668" s="24">
        <v>0</v>
      </c>
    </row>
    <row r="669" spans="1:11" hidden="1" x14ac:dyDescent="0.2">
      <c r="A669" s="22" t="s">
        <v>1184</v>
      </c>
      <c r="B669" s="25">
        <v>18</v>
      </c>
      <c r="C669" s="25">
        <v>14</v>
      </c>
      <c r="D669" s="25">
        <v>11</v>
      </c>
      <c r="E669" s="25">
        <v>8</v>
      </c>
      <c r="F669" s="25">
        <v>7</v>
      </c>
      <c r="G669" s="25">
        <v>7</v>
      </c>
      <c r="H669" s="25">
        <v>1</v>
      </c>
      <c r="I669" s="24">
        <v>5.5555555555555552E-2</v>
      </c>
      <c r="J669" s="24">
        <v>6.25E-2</v>
      </c>
      <c r="K669" s="24">
        <v>1.125</v>
      </c>
    </row>
    <row r="670" spans="1:11" hidden="1" x14ac:dyDescent="0.2">
      <c r="A670" s="22" t="s">
        <v>1185</v>
      </c>
      <c r="B670" s="25">
        <v>24</v>
      </c>
      <c r="C670" s="25">
        <v>14</v>
      </c>
      <c r="D670" s="25">
        <v>7</v>
      </c>
      <c r="E670" s="25">
        <v>5</v>
      </c>
      <c r="F670" s="25">
        <v>3</v>
      </c>
      <c r="G670" s="25">
        <v>3</v>
      </c>
      <c r="H670" s="25">
        <v>1</v>
      </c>
      <c r="I670" s="24">
        <v>4.1666666666666664E-2</v>
      </c>
      <c r="J670" s="24" t="s">
        <v>1233</v>
      </c>
      <c r="K670" s="24">
        <v>0</v>
      </c>
    </row>
    <row r="671" spans="1:11" hidden="1" x14ac:dyDescent="0.2">
      <c r="A671" s="22" t="s">
        <v>1186</v>
      </c>
      <c r="B671" s="25">
        <v>43</v>
      </c>
      <c r="C671" s="25">
        <v>20</v>
      </c>
      <c r="D671" s="25">
        <v>13</v>
      </c>
      <c r="E671" s="25">
        <v>13</v>
      </c>
      <c r="F671" s="25">
        <v>11</v>
      </c>
      <c r="G671" s="25">
        <v>10</v>
      </c>
      <c r="H671" s="25">
        <v>1</v>
      </c>
      <c r="I671" s="24">
        <v>2.3255813953488372E-2</v>
      </c>
      <c r="J671" s="24">
        <v>0.12121212121212122</v>
      </c>
      <c r="K671" s="24">
        <v>1.303030303030303</v>
      </c>
    </row>
    <row r="672" spans="1:11" x14ac:dyDescent="0.2">
      <c r="A672" s="22" t="s">
        <v>1187</v>
      </c>
      <c r="B672" s="25">
        <v>4</v>
      </c>
      <c r="C672" s="25">
        <v>4</v>
      </c>
      <c r="D672" s="25">
        <v>4</v>
      </c>
      <c r="E672" s="25">
        <v>4</v>
      </c>
      <c r="F672" s="25">
        <v>4</v>
      </c>
      <c r="G672" s="25">
        <v>4</v>
      </c>
      <c r="H672" s="25">
        <v>1</v>
      </c>
      <c r="I672" s="24">
        <v>0.25</v>
      </c>
      <c r="J672" s="24">
        <v>9.0909090909090912E-2</v>
      </c>
      <c r="K672" s="24">
        <v>0.36363636363636365</v>
      </c>
    </row>
    <row r="673" spans="1:11" hidden="1" x14ac:dyDescent="0.2">
      <c r="A673" s="22" t="s">
        <v>1188</v>
      </c>
      <c r="B673" s="25">
        <v>13</v>
      </c>
      <c r="C673" s="25">
        <v>10</v>
      </c>
      <c r="D673" s="25">
        <v>6</v>
      </c>
      <c r="E673" s="25">
        <v>5</v>
      </c>
      <c r="F673" s="25">
        <v>5</v>
      </c>
      <c r="G673" s="25">
        <v>5</v>
      </c>
      <c r="H673" s="25">
        <v>1</v>
      </c>
      <c r="I673" s="24">
        <v>7.6923076923076927E-2</v>
      </c>
      <c r="J673" s="24" t="s">
        <v>1233</v>
      </c>
      <c r="K673" s="24">
        <v>0</v>
      </c>
    </row>
    <row r="674" spans="1:11" hidden="1" x14ac:dyDescent="0.2">
      <c r="A674" s="22" t="s">
        <v>502</v>
      </c>
      <c r="B674" s="25">
        <v>44</v>
      </c>
      <c r="C674" s="25">
        <v>30</v>
      </c>
      <c r="D674" s="25">
        <v>6</v>
      </c>
      <c r="E674" s="25">
        <v>5</v>
      </c>
      <c r="F674" s="25">
        <v>5</v>
      </c>
      <c r="G674" s="25">
        <v>5</v>
      </c>
      <c r="H674" s="25">
        <v>1</v>
      </c>
      <c r="I674" s="24">
        <v>2.2727272727272728E-2</v>
      </c>
      <c r="J674" s="24">
        <v>0.17142857142857143</v>
      </c>
      <c r="K674" s="24">
        <v>1.2571428571428571</v>
      </c>
    </row>
    <row r="675" spans="1:11" hidden="1" x14ac:dyDescent="0.2">
      <c r="A675" s="22" t="s">
        <v>1189</v>
      </c>
      <c r="B675" s="25">
        <v>12</v>
      </c>
      <c r="C675" s="25">
        <v>5</v>
      </c>
      <c r="D675" s="25">
        <v>3</v>
      </c>
      <c r="E675" s="25">
        <v>3</v>
      </c>
      <c r="F675" s="25">
        <v>2</v>
      </c>
      <c r="G675" s="25">
        <v>2</v>
      </c>
      <c r="H675" s="25">
        <v>1</v>
      </c>
      <c r="I675" s="24">
        <v>8.3333333333333329E-2</v>
      </c>
      <c r="J675" s="24" t="s">
        <v>1233</v>
      </c>
      <c r="K675" s="24">
        <v>0</v>
      </c>
    </row>
    <row r="676" spans="1:11" hidden="1" x14ac:dyDescent="0.2">
      <c r="A676" s="22" t="s">
        <v>1190</v>
      </c>
      <c r="B676" s="25">
        <v>24</v>
      </c>
      <c r="C676" s="25">
        <v>14</v>
      </c>
      <c r="D676" s="25">
        <v>9</v>
      </c>
      <c r="E676" s="25">
        <v>7</v>
      </c>
      <c r="F676" s="25">
        <v>7</v>
      </c>
      <c r="G676" s="25">
        <v>7</v>
      </c>
      <c r="H676" s="25">
        <v>1</v>
      </c>
      <c r="I676" s="24">
        <v>4.1666666666666664E-2</v>
      </c>
      <c r="J676" s="24" t="s">
        <v>1233</v>
      </c>
      <c r="K676" s="24">
        <v>0</v>
      </c>
    </row>
    <row r="677" spans="1:11" hidden="1" x14ac:dyDescent="0.2">
      <c r="A677" s="22" t="s">
        <v>1191</v>
      </c>
      <c r="B677" s="25">
        <v>10</v>
      </c>
      <c r="C677" s="25">
        <v>7</v>
      </c>
      <c r="D677" s="25">
        <v>4</v>
      </c>
      <c r="E677" s="25">
        <v>3</v>
      </c>
      <c r="F677" s="25">
        <v>1</v>
      </c>
      <c r="G677" s="25">
        <v>1</v>
      </c>
      <c r="H677" s="25">
        <v>1</v>
      </c>
      <c r="I677" s="24">
        <v>0.1</v>
      </c>
      <c r="J677" s="24" t="s">
        <v>1233</v>
      </c>
      <c r="K677" s="24">
        <v>0</v>
      </c>
    </row>
    <row r="678" spans="1:11" x14ac:dyDescent="0.2">
      <c r="A678" s="22" t="s">
        <v>1192</v>
      </c>
      <c r="B678" s="25">
        <v>5</v>
      </c>
      <c r="C678" s="25">
        <v>4</v>
      </c>
      <c r="D678" s="25">
        <v>3</v>
      </c>
      <c r="E678" s="25">
        <v>2</v>
      </c>
      <c r="F678" s="25">
        <v>2</v>
      </c>
      <c r="G678" s="25">
        <v>2</v>
      </c>
      <c r="H678" s="25">
        <v>1</v>
      </c>
      <c r="I678" s="24">
        <v>0.2</v>
      </c>
      <c r="J678" s="24" t="s">
        <v>1233</v>
      </c>
      <c r="K678" s="24">
        <v>0</v>
      </c>
    </row>
    <row r="679" spans="1:11" x14ac:dyDescent="0.2">
      <c r="A679" s="22" t="s">
        <v>1193</v>
      </c>
      <c r="B679" s="25">
        <v>3</v>
      </c>
      <c r="C679" s="25">
        <v>3</v>
      </c>
      <c r="D679" s="25">
        <v>3</v>
      </c>
      <c r="E679" s="25">
        <v>2</v>
      </c>
      <c r="F679" s="25">
        <v>2</v>
      </c>
      <c r="G679" s="25">
        <v>2</v>
      </c>
      <c r="H679" s="25">
        <v>1</v>
      </c>
      <c r="I679" s="24">
        <v>0.33333333333333331</v>
      </c>
      <c r="J679" s="24" t="s">
        <v>1233</v>
      </c>
      <c r="K679" s="24">
        <v>0</v>
      </c>
    </row>
    <row r="680" spans="1:11" x14ac:dyDescent="0.2">
      <c r="A680" s="22" t="s">
        <v>1194</v>
      </c>
      <c r="B680" s="25">
        <v>7</v>
      </c>
      <c r="C680" s="25">
        <v>2</v>
      </c>
      <c r="D680" s="25">
        <v>2</v>
      </c>
      <c r="E680" s="25">
        <v>2</v>
      </c>
      <c r="F680" s="25">
        <v>1</v>
      </c>
      <c r="G680" s="25">
        <v>1</v>
      </c>
      <c r="H680" s="25">
        <v>1</v>
      </c>
      <c r="I680" s="24">
        <v>0.14285714285714285</v>
      </c>
      <c r="J680" s="24" t="s">
        <v>1233</v>
      </c>
      <c r="K680" s="24">
        <v>0</v>
      </c>
    </row>
    <row r="681" spans="1:11" hidden="1" x14ac:dyDescent="0.2">
      <c r="A681" s="22" t="s">
        <v>1195</v>
      </c>
      <c r="B681" s="25">
        <v>24</v>
      </c>
      <c r="C681" s="25">
        <v>10</v>
      </c>
      <c r="D681" s="25">
        <v>8</v>
      </c>
      <c r="E681" s="25">
        <v>6</v>
      </c>
      <c r="F681" s="25">
        <v>3</v>
      </c>
      <c r="G681" s="25">
        <v>3</v>
      </c>
      <c r="H681" s="25">
        <v>1</v>
      </c>
      <c r="I681" s="24">
        <v>4.1666666666666664E-2</v>
      </c>
      <c r="J681" s="24" t="s">
        <v>1233</v>
      </c>
      <c r="K681" s="24">
        <v>0</v>
      </c>
    </row>
    <row r="682" spans="1:11" hidden="1" x14ac:dyDescent="0.2">
      <c r="A682" s="22" t="s">
        <v>1196</v>
      </c>
      <c r="B682" s="25">
        <v>10</v>
      </c>
      <c r="C682" s="25">
        <v>4</v>
      </c>
      <c r="D682" s="25">
        <v>2</v>
      </c>
      <c r="E682" s="25">
        <v>1</v>
      </c>
      <c r="F682" s="25">
        <v>1</v>
      </c>
      <c r="G682" s="25">
        <v>1</v>
      </c>
      <c r="H682" s="25">
        <v>1</v>
      </c>
      <c r="I682" s="24">
        <v>0.1</v>
      </c>
      <c r="J682" s="24" t="s">
        <v>1233</v>
      </c>
      <c r="K682" s="24">
        <v>0</v>
      </c>
    </row>
    <row r="683" spans="1:11" hidden="1" x14ac:dyDescent="0.2">
      <c r="A683" s="22" t="s">
        <v>1197</v>
      </c>
      <c r="B683" s="25">
        <v>12</v>
      </c>
      <c r="C683" s="25">
        <v>9</v>
      </c>
      <c r="D683" s="25">
        <v>7</v>
      </c>
      <c r="E683" s="25">
        <v>6</v>
      </c>
      <c r="F683" s="25">
        <v>6</v>
      </c>
      <c r="G683" s="25">
        <v>6</v>
      </c>
      <c r="H683" s="25">
        <v>1</v>
      </c>
      <c r="I683" s="24">
        <v>8.3333333333333329E-2</v>
      </c>
      <c r="J683" s="24" t="s">
        <v>1233</v>
      </c>
      <c r="K683" s="24">
        <v>0</v>
      </c>
    </row>
    <row r="684" spans="1:11" hidden="1" x14ac:dyDescent="0.2">
      <c r="A684" s="22" t="s">
        <v>1198</v>
      </c>
      <c r="B684" s="25">
        <v>24</v>
      </c>
      <c r="C684" s="25">
        <v>15</v>
      </c>
      <c r="D684" s="25">
        <v>11</v>
      </c>
      <c r="E684" s="25">
        <v>8</v>
      </c>
      <c r="F684" s="25">
        <v>8</v>
      </c>
      <c r="G684" s="25">
        <v>8</v>
      </c>
      <c r="H684" s="25">
        <v>1</v>
      </c>
      <c r="I684" s="24">
        <v>4.1666666666666664E-2</v>
      </c>
      <c r="J684" s="24" t="s">
        <v>1233</v>
      </c>
      <c r="K684" s="24">
        <v>0</v>
      </c>
    </row>
    <row r="685" spans="1:11" hidden="1" x14ac:dyDescent="0.2">
      <c r="A685" s="22" t="s">
        <v>1199</v>
      </c>
      <c r="B685" s="25">
        <v>9</v>
      </c>
      <c r="C685" s="25">
        <v>8</v>
      </c>
      <c r="D685" s="25">
        <v>3</v>
      </c>
      <c r="E685" s="25">
        <v>3</v>
      </c>
      <c r="F685" s="25">
        <v>3</v>
      </c>
      <c r="G685" s="25">
        <v>3</v>
      </c>
      <c r="H685" s="25">
        <v>1</v>
      </c>
      <c r="I685" s="24">
        <v>0.1111111111111111</v>
      </c>
      <c r="J685" s="24" t="s">
        <v>1233</v>
      </c>
      <c r="K685" s="24">
        <v>0</v>
      </c>
    </row>
    <row r="686" spans="1:11" x14ac:dyDescent="0.2">
      <c r="A686" s="22" t="s">
        <v>1200</v>
      </c>
      <c r="B686" s="25">
        <v>5</v>
      </c>
      <c r="C686" s="25">
        <v>4</v>
      </c>
      <c r="D686" s="25">
        <v>3</v>
      </c>
      <c r="E686" s="25">
        <v>2</v>
      </c>
      <c r="F686" s="25">
        <v>1</v>
      </c>
      <c r="G686" s="25">
        <v>1</v>
      </c>
      <c r="H686" s="25">
        <v>1</v>
      </c>
      <c r="I686" s="24">
        <v>0.2</v>
      </c>
      <c r="J686" s="24" t="s">
        <v>1233</v>
      </c>
      <c r="K686" s="24">
        <v>0</v>
      </c>
    </row>
    <row r="687" spans="1:11" x14ac:dyDescent="0.2">
      <c r="A687" s="22" t="s">
        <v>1201</v>
      </c>
      <c r="B687" s="25">
        <v>4</v>
      </c>
      <c r="C687" s="25">
        <v>4</v>
      </c>
      <c r="D687" s="25">
        <v>3</v>
      </c>
      <c r="E687" s="25">
        <v>1</v>
      </c>
      <c r="F687" s="25">
        <v>1</v>
      </c>
      <c r="G687" s="25">
        <v>1</v>
      </c>
      <c r="H687" s="25">
        <v>1</v>
      </c>
      <c r="I687" s="24">
        <v>0.25</v>
      </c>
      <c r="J687" s="24" t="s">
        <v>1233</v>
      </c>
      <c r="K687" s="24">
        <v>0</v>
      </c>
    </row>
    <row r="688" spans="1:11" hidden="1" x14ac:dyDescent="0.2">
      <c r="A688" s="22" t="s">
        <v>1202</v>
      </c>
      <c r="B688" s="25">
        <v>94</v>
      </c>
      <c r="C688" s="25">
        <v>32</v>
      </c>
      <c r="D688" s="25">
        <v>17</v>
      </c>
      <c r="E688" s="25">
        <v>15</v>
      </c>
      <c r="F688" s="25">
        <v>12</v>
      </c>
      <c r="G688" s="25">
        <v>11</v>
      </c>
      <c r="H688" s="25">
        <v>1</v>
      </c>
      <c r="I688" s="24">
        <v>1.0638297872340425E-2</v>
      </c>
      <c r="J688" s="24" t="s">
        <v>1233</v>
      </c>
      <c r="K688" s="24">
        <v>0</v>
      </c>
    </row>
    <row r="689" spans="1:11" x14ac:dyDescent="0.2">
      <c r="A689" s="22" t="s">
        <v>1203</v>
      </c>
      <c r="B689" s="25">
        <v>5</v>
      </c>
      <c r="C689" s="25">
        <v>4</v>
      </c>
      <c r="D689" s="25">
        <v>3</v>
      </c>
      <c r="E689" s="25">
        <v>3</v>
      </c>
      <c r="F689" s="25">
        <v>3</v>
      </c>
      <c r="G689" s="25">
        <v>3</v>
      </c>
      <c r="H689" s="25">
        <v>1</v>
      </c>
      <c r="I689" s="24">
        <v>0.2</v>
      </c>
      <c r="J689" s="24" t="s">
        <v>1233</v>
      </c>
      <c r="K689" s="24">
        <v>0</v>
      </c>
    </row>
    <row r="690" spans="1:11" hidden="1" x14ac:dyDescent="0.2">
      <c r="A690" s="22" t="s">
        <v>1204</v>
      </c>
      <c r="B690" s="25">
        <v>12</v>
      </c>
      <c r="C690" s="25">
        <v>7</v>
      </c>
      <c r="D690" s="25">
        <v>5</v>
      </c>
      <c r="E690" s="25">
        <v>4</v>
      </c>
      <c r="F690" s="25">
        <v>4</v>
      </c>
      <c r="G690" s="25">
        <v>4</v>
      </c>
      <c r="H690" s="25">
        <v>1</v>
      </c>
      <c r="I690" s="24">
        <v>8.3333333333333329E-2</v>
      </c>
      <c r="J690" s="24">
        <v>0.1111111111111111</v>
      </c>
      <c r="K690" s="24">
        <v>1.3333333333333333</v>
      </c>
    </row>
    <row r="691" spans="1:11" hidden="1" x14ac:dyDescent="0.2">
      <c r="A691" s="22" t="s">
        <v>1205</v>
      </c>
      <c r="B691" s="25">
        <v>10</v>
      </c>
      <c r="C691" s="25">
        <v>8</v>
      </c>
      <c r="D691" s="25">
        <v>5</v>
      </c>
      <c r="E691" s="25">
        <v>5</v>
      </c>
      <c r="F691" s="25">
        <v>1</v>
      </c>
      <c r="G691" s="25">
        <v>1</v>
      </c>
      <c r="H691" s="25">
        <v>1</v>
      </c>
      <c r="I691" s="24">
        <v>0.1</v>
      </c>
      <c r="J691" s="24" t="s">
        <v>1233</v>
      </c>
      <c r="K691" s="24">
        <v>0</v>
      </c>
    </row>
    <row r="692" spans="1:11" hidden="1" x14ac:dyDescent="0.2">
      <c r="A692" s="22" t="s">
        <v>522</v>
      </c>
      <c r="B692" s="25">
        <v>26</v>
      </c>
      <c r="C692" s="25">
        <v>20</v>
      </c>
      <c r="D692" s="25">
        <v>17</v>
      </c>
      <c r="E692" s="25">
        <v>11</v>
      </c>
      <c r="F692" s="25">
        <v>9</v>
      </c>
      <c r="G692" s="25">
        <v>9</v>
      </c>
      <c r="H692" s="25">
        <v>1</v>
      </c>
      <c r="I692" s="24">
        <v>3.8461538461538464E-2</v>
      </c>
      <c r="J692" s="24">
        <v>9.4972067039106142E-2</v>
      </c>
      <c r="K692" s="24">
        <v>0.14525139664804471</v>
      </c>
    </row>
    <row r="693" spans="1:11" hidden="1" x14ac:dyDescent="0.2">
      <c r="A693" s="22" t="s">
        <v>520</v>
      </c>
      <c r="B693" s="25">
        <v>31</v>
      </c>
      <c r="C693" s="25">
        <v>28</v>
      </c>
      <c r="D693" s="25">
        <v>20</v>
      </c>
      <c r="E693" s="25">
        <v>16</v>
      </c>
      <c r="F693" s="25">
        <v>14</v>
      </c>
      <c r="G693" s="25">
        <v>12</v>
      </c>
      <c r="H693" s="25">
        <v>1</v>
      </c>
      <c r="I693" s="24">
        <v>3.2258064516129031E-2</v>
      </c>
      <c r="J693" s="24">
        <v>0.10344827586206896</v>
      </c>
      <c r="K693" s="24">
        <v>0.53448275862068961</v>
      </c>
    </row>
    <row r="694" spans="1:11" x14ac:dyDescent="0.2">
      <c r="A694" s="22" t="s">
        <v>1206</v>
      </c>
      <c r="B694" s="25">
        <v>7</v>
      </c>
      <c r="C694" s="25">
        <v>4</v>
      </c>
      <c r="D694" s="25">
        <v>2</v>
      </c>
      <c r="E694" s="25">
        <v>2</v>
      </c>
      <c r="F694" s="25">
        <v>2</v>
      </c>
      <c r="G694" s="25">
        <v>2</v>
      </c>
      <c r="H694" s="25">
        <v>1</v>
      </c>
      <c r="I694" s="24">
        <v>0.14285714285714285</v>
      </c>
      <c r="J694" s="24">
        <v>3.2258064516129031E-2</v>
      </c>
      <c r="K694" s="24">
        <v>0.22580645161290322</v>
      </c>
    </row>
    <row r="695" spans="1:11" x14ac:dyDescent="0.2">
      <c r="A695" s="22" t="s">
        <v>1207</v>
      </c>
      <c r="B695" s="25">
        <v>6</v>
      </c>
      <c r="C695" s="25">
        <v>3</v>
      </c>
      <c r="D695" s="25">
        <v>3</v>
      </c>
      <c r="E695" s="25">
        <v>3</v>
      </c>
      <c r="F695" s="25">
        <v>3</v>
      </c>
      <c r="G695" s="25">
        <v>3</v>
      </c>
      <c r="H695" s="25">
        <v>1</v>
      </c>
      <c r="I695" s="24">
        <v>0.16666666666666666</v>
      </c>
      <c r="J695" s="24">
        <v>8.3333333333333329E-2</v>
      </c>
      <c r="K695" s="24">
        <v>0.5</v>
      </c>
    </row>
    <row r="696" spans="1:11" hidden="1" x14ac:dyDescent="0.2">
      <c r="A696" s="22" t="s">
        <v>1208</v>
      </c>
      <c r="B696" s="25">
        <v>55</v>
      </c>
      <c r="C696" s="25">
        <v>23</v>
      </c>
      <c r="D696" s="25">
        <v>14</v>
      </c>
      <c r="E696" s="25">
        <v>8</v>
      </c>
      <c r="F696" s="25">
        <v>5</v>
      </c>
      <c r="G696" s="25">
        <v>4</v>
      </c>
      <c r="H696" s="25">
        <v>1</v>
      </c>
      <c r="I696" s="24">
        <v>1.8181818181818181E-2</v>
      </c>
      <c r="J696" s="24">
        <v>0.11428571428571428</v>
      </c>
      <c r="K696" s="24">
        <v>1.5714285714285714</v>
      </c>
    </row>
    <row r="697" spans="1:11" hidden="1" x14ac:dyDescent="0.2">
      <c r="A697" s="22" t="s">
        <v>1209</v>
      </c>
      <c r="B697" s="25">
        <v>15</v>
      </c>
      <c r="C697" s="25">
        <v>9</v>
      </c>
      <c r="D697" s="25">
        <v>6</v>
      </c>
      <c r="E697" s="25">
        <v>5</v>
      </c>
      <c r="F697" s="25">
        <v>3</v>
      </c>
      <c r="G697" s="25">
        <v>3</v>
      </c>
      <c r="H697" s="25">
        <v>1</v>
      </c>
      <c r="I697" s="24">
        <v>6.6666666666666666E-2</v>
      </c>
      <c r="J697" s="24">
        <v>9.0909090909090912E-2</v>
      </c>
      <c r="K697" s="24">
        <v>1.3636363636363635</v>
      </c>
    </row>
    <row r="698" spans="1:11" hidden="1" x14ac:dyDescent="0.2">
      <c r="A698" s="22" t="s">
        <v>1210</v>
      </c>
      <c r="B698" s="25">
        <v>12</v>
      </c>
      <c r="C698" s="25">
        <v>7</v>
      </c>
      <c r="D698" s="25">
        <v>6</v>
      </c>
      <c r="E698" s="25">
        <v>5</v>
      </c>
      <c r="F698" s="25">
        <v>3</v>
      </c>
      <c r="G698" s="25">
        <v>3</v>
      </c>
      <c r="H698" s="25">
        <v>1</v>
      </c>
      <c r="I698" s="24">
        <v>8.3333333333333329E-2</v>
      </c>
      <c r="J698" s="24" t="s">
        <v>1233</v>
      </c>
      <c r="K698" s="24">
        <v>0</v>
      </c>
    </row>
    <row r="699" spans="1:11" x14ac:dyDescent="0.2">
      <c r="A699" s="22" t="s">
        <v>1211</v>
      </c>
      <c r="B699" s="25">
        <v>6</v>
      </c>
      <c r="C699" s="25">
        <v>3</v>
      </c>
      <c r="D699" s="25">
        <v>1</v>
      </c>
      <c r="E699" s="25">
        <v>1</v>
      </c>
      <c r="F699" s="25">
        <v>1</v>
      </c>
      <c r="G699" s="25">
        <v>1</v>
      </c>
      <c r="H699" s="25">
        <v>1</v>
      </c>
      <c r="I699" s="24">
        <v>0.16666666666666666</v>
      </c>
      <c r="J699" s="24">
        <v>0.14285714285714285</v>
      </c>
      <c r="K699" s="24">
        <v>0.42857142857142855</v>
      </c>
    </row>
    <row r="700" spans="1:11" hidden="1" x14ac:dyDescent="0.2">
      <c r="A700" s="22" t="s">
        <v>1212</v>
      </c>
      <c r="B700" s="25">
        <v>24</v>
      </c>
      <c r="C700" s="25">
        <v>13</v>
      </c>
      <c r="D700" s="25">
        <v>9</v>
      </c>
      <c r="E700" s="25">
        <v>9</v>
      </c>
      <c r="F700" s="25">
        <v>8</v>
      </c>
      <c r="G700" s="25">
        <v>7</v>
      </c>
      <c r="H700" s="25">
        <v>1</v>
      </c>
      <c r="I700" s="24">
        <v>4.1666666666666664E-2</v>
      </c>
      <c r="J700" s="24">
        <v>3.7037037037037035E-2</v>
      </c>
      <c r="K700" s="24">
        <v>0.88888888888888884</v>
      </c>
    </row>
    <row r="701" spans="1:11" x14ac:dyDescent="0.2">
      <c r="A701" s="22" t="s">
        <v>1213</v>
      </c>
      <c r="B701" s="25">
        <v>4</v>
      </c>
      <c r="C701" s="25">
        <v>3</v>
      </c>
      <c r="D701" s="25">
        <v>3</v>
      </c>
      <c r="E701" s="25">
        <v>2</v>
      </c>
      <c r="F701" s="25">
        <v>2</v>
      </c>
      <c r="G701" s="25">
        <v>2</v>
      </c>
      <c r="H701" s="25">
        <v>1</v>
      </c>
      <c r="I701" s="24">
        <v>0.25</v>
      </c>
      <c r="J701" s="24" t="s">
        <v>1233</v>
      </c>
      <c r="K701" s="24">
        <v>0</v>
      </c>
    </row>
    <row r="702" spans="1:11" hidden="1" x14ac:dyDescent="0.2">
      <c r="A702" s="22" t="s">
        <v>1214</v>
      </c>
      <c r="B702" s="25">
        <v>19</v>
      </c>
      <c r="C702" s="25">
        <v>16</v>
      </c>
      <c r="D702" s="25">
        <v>10</v>
      </c>
      <c r="E702" s="25">
        <v>8</v>
      </c>
      <c r="F702" s="25">
        <v>6</v>
      </c>
      <c r="G702" s="25">
        <v>6</v>
      </c>
      <c r="H702" s="25">
        <v>1</v>
      </c>
      <c r="I702" s="24">
        <v>5.2631578947368418E-2</v>
      </c>
      <c r="J702" s="24">
        <v>5.5555555555555552E-2</v>
      </c>
      <c r="K702" s="24">
        <v>0.52777777777777779</v>
      </c>
    </row>
    <row r="703" spans="1:11" hidden="1" x14ac:dyDescent="0.2">
      <c r="A703" s="22" t="s">
        <v>1215</v>
      </c>
      <c r="B703" s="25">
        <v>14</v>
      </c>
      <c r="C703" s="25">
        <v>6</v>
      </c>
      <c r="D703" s="25">
        <v>4</v>
      </c>
      <c r="E703" s="25">
        <v>2</v>
      </c>
      <c r="F703" s="25">
        <v>1</v>
      </c>
      <c r="G703" s="25">
        <v>1</v>
      </c>
      <c r="H703" s="25">
        <v>1</v>
      </c>
      <c r="I703" s="24">
        <v>7.1428571428571425E-2</v>
      </c>
      <c r="J703" s="24" t="s">
        <v>1233</v>
      </c>
      <c r="K703" s="24">
        <v>0</v>
      </c>
    </row>
    <row r="704" spans="1:11" hidden="1" x14ac:dyDescent="0.2">
      <c r="A704" s="22" t="s">
        <v>1216</v>
      </c>
      <c r="B704" s="25">
        <v>19</v>
      </c>
      <c r="C704" s="25">
        <v>13</v>
      </c>
      <c r="D704" s="25">
        <v>9</v>
      </c>
      <c r="E704" s="25">
        <v>9</v>
      </c>
      <c r="F704" s="25">
        <v>9</v>
      </c>
      <c r="G704" s="25">
        <v>9</v>
      </c>
      <c r="H704" s="25">
        <v>1</v>
      </c>
      <c r="I704" s="24">
        <v>5.2631578947368418E-2</v>
      </c>
      <c r="J704" s="24">
        <v>5.8823529411764705E-2</v>
      </c>
      <c r="K704" s="24">
        <v>1.1176470588235294</v>
      </c>
    </row>
    <row r="705" spans="1:11" x14ac:dyDescent="0.2">
      <c r="A705" s="22" t="s">
        <v>1217</v>
      </c>
      <c r="B705" s="25">
        <v>5</v>
      </c>
      <c r="C705" s="25">
        <v>3</v>
      </c>
      <c r="D705" s="25">
        <v>3</v>
      </c>
      <c r="E705" s="25">
        <v>1</v>
      </c>
      <c r="F705" s="25">
        <v>1</v>
      </c>
      <c r="G705" s="25">
        <v>1</v>
      </c>
      <c r="H705" s="25">
        <v>1</v>
      </c>
      <c r="I705" s="24">
        <v>0.2</v>
      </c>
      <c r="J705" s="24" t="s">
        <v>1233</v>
      </c>
      <c r="K705" s="24">
        <v>0</v>
      </c>
    </row>
    <row r="706" spans="1:11" hidden="1" x14ac:dyDescent="0.2">
      <c r="A706" s="22" t="s">
        <v>1218</v>
      </c>
      <c r="B706" s="25">
        <v>31</v>
      </c>
      <c r="C706" s="25">
        <v>18</v>
      </c>
      <c r="D706" s="25">
        <v>10</v>
      </c>
      <c r="E706" s="25">
        <v>7</v>
      </c>
      <c r="F706" s="25">
        <v>7</v>
      </c>
      <c r="G706" s="25">
        <v>7</v>
      </c>
      <c r="H706" s="25">
        <v>1</v>
      </c>
      <c r="I706" s="24">
        <v>3.2258064516129031E-2</v>
      </c>
      <c r="J706" s="24">
        <v>0.15789473684210525</v>
      </c>
      <c r="K706" s="24">
        <v>1.631578947368421</v>
      </c>
    </row>
    <row r="707" spans="1:11" hidden="1" x14ac:dyDescent="0.2">
      <c r="A707" s="22" t="s">
        <v>1219</v>
      </c>
      <c r="B707" s="25">
        <v>11</v>
      </c>
      <c r="C707" s="25">
        <v>8</v>
      </c>
      <c r="D707" s="25">
        <v>8</v>
      </c>
      <c r="E707" s="25">
        <v>7</v>
      </c>
      <c r="F707" s="25">
        <v>4</v>
      </c>
      <c r="G707" s="25">
        <v>4</v>
      </c>
      <c r="H707" s="25">
        <v>1</v>
      </c>
      <c r="I707" s="24">
        <v>9.0909090909090912E-2</v>
      </c>
      <c r="J707" s="24" t="s">
        <v>1233</v>
      </c>
      <c r="K707" s="24">
        <v>0</v>
      </c>
    </row>
    <row r="708" spans="1:11" hidden="1" x14ac:dyDescent="0.2">
      <c r="A708" s="22" t="s">
        <v>1220</v>
      </c>
      <c r="B708" s="25">
        <v>16</v>
      </c>
      <c r="C708" s="25">
        <v>8</v>
      </c>
      <c r="D708" s="25">
        <v>4</v>
      </c>
      <c r="E708" s="25">
        <v>4</v>
      </c>
      <c r="F708" s="25">
        <v>3</v>
      </c>
      <c r="G708" s="25">
        <v>3</v>
      </c>
      <c r="H708" s="25">
        <v>1</v>
      </c>
      <c r="I708" s="24">
        <v>6.25E-2</v>
      </c>
      <c r="J708" s="24" t="s">
        <v>1233</v>
      </c>
      <c r="K708" s="24">
        <v>0</v>
      </c>
    </row>
    <row r="709" spans="1:11" x14ac:dyDescent="0.2">
      <c r="A709" s="22" t="s">
        <v>1221</v>
      </c>
      <c r="B709" s="25">
        <v>7</v>
      </c>
      <c r="C709" s="25">
        <v>5</v>
      </c>
      <c r="D709" s="25">
        <v>3</v>
      </c>
      <c r="E709" s="25">
        <v>3</v>
      </c>
      <c r="F709" s="25">
        <v>2</v>
      </c>
      <c r="G709" s="25">
        <v>2</v>
      </c>
      <c r="H709" s="25">
        <v>1</v>
      </c>
      <c r="I709" s="24">
        <v>0.14285714285714285</v>
      </c>
      <c r="J709" s="24">
        <v>0.21428571428571427</v>
      </c>
      <c r="K709" s="24">
        <v>0.5</v>
      </c>
    </row>
    <row r="710" spans="1:11" hidden="1" x14ac:dyDescent="0.2">
      <c r="A710" s="22" t="s">
        <v>1222</v>
      </c>
      <c r="B710" s="25">
        <v>24</v>
      </c>
      <c r="C710" s="25">
        <v>17</v>
      </c>
      <c r="D710" s="25">
        <v>16</v>
      </c>
      <c r="E710" s="25">
        <v>13</v>
      </c>
      <c r="F710" s="25">
        <v>12</v>
      </c>
      <c r="G710" s="25">
        <v>11</v>
      </c>
      <c r="H710" s="25">
        <v>1</v>
      </c>
      <c r="I710" s="24">
        <v>4.1666666666666664E-2</v>
      </c>
      <c r="J710" s="24" t="s">
        <v>1233</v>
      </c>
      <c r="K710" s="24">
        <v>0</v>
      </c>
    </row>
    <row r="711" spans="1:11" hidden="1" x14ac:dyDescent="0.2">
      <c r="A711" s="22" t="s">
        <v>1223</v>
      </c>
      <c r="B711" s="25">
        <v>24</v>
      </c>
      <c r="C711" s="25">
        <v>9</v>
      </c>
      <c r="D711" s="25">
        <v>5</v>
      </c>
      <c r="E711" s="25">
        <v>4</v>
      </c>
      <c r="F711" s="25">
        <v>2</v>
      </c>
      <c r="G711" s="25">
        <v>2</v>
      </c>
      <c r="H711" s="25">
        <v>1</v>
      </c>
      <c r="I711" s="24">
        <v>4.1666666666666664E-2</v>
      </c>
      <c r="J711" s="24" t="s">
        <v>1233</v>
      </c>
      <c r="K711" s="24">
        <v>0</v>
      </c>
    </row>
    <row r="712" spans="1:11" hidden="1" x14ac:dyDescent="0.2">
      <c r="A712" s="22" t="s">
        <v>1224</v>
      </c>
      <c r="B712" s="25">
        <v>32</v>
      </c>
      <c r="C712" s="25">
        <v>16</v>
      </c>
      <c r="D712" s="25">
        <v>7</v>
      </c>
      <c r="E712" s="25">
        <v>7</v>
      </c>
      <c r="F712" s="25">
        <v>2</v>
      </c>
      <c r="G712" s="25">
        <v>2</v>
      </c>
      <c r="H712" s="25">
        <v>1</v>
      </c>
      <c r="I712" s="24">
        <v>3.125E-2</v>
      </c>
      <c r="J712" s="24">
        <v>0.04</v>
      </c>
      <c r="K712" s="24">
        <v>1.28</v>
      </c>
    </row>
    <row r="713" spans="1:11" x14ac:dyDescent="0.2">
      <c r="A713" s="22" t="s">
        <v>1225</v>
      </c>
      <c r="B713" s="25">
        <v>4</v>
      </c>
      <c r="C713" s="25">
        <v>3</v>
      </c>
      <c r="D713" s="25">
        <v>3</v>
      </c>
      <c r="E713" s="25">
        <v>2</v>
      </c>
      <c r="F713" s="25">
        <v>1</v>
      </c>
      <c r="G713" s="25">
        <v>1</v>
      </c>
      <c r="H713" s="25">
        <v>1</v>
      </c>
      <c r="I713" s="24">
        <v>0.25</v>
      </c>
      <c r="J713" s="24" t="s">
        <v>1233</v>
      </c>
      <c r="K713" s="24">
        <v>0</v>
      </c>
    </row>
    <row r="714" spans="1:11" hidden="1" x14ac:dyDescent="0.2">
      <c r="A714" s="22" t="s">
        <v>1226</v>
      </c>
      <c r="B714" s="25">
        <v>19</v>
      </c>
      <c r="C714" s="25">
        <v>13</v>
      </c>
      <c r="D714" s="25">
        <v>10</v>
      </c>
      <c r="E714" s="25">
        <v>8</v>
      </c>
      <c r="F714" s="25">
        <v>6</v>
      </c>
      <c r="G714" s="25">
        <v>6</v>
      </c>
      <c r="H714" s="25">
        <v>1</v>
      </c>
      <c r="I714" s="24">
        <v>5.2631578947368418E-2</v>
      </c>
      <c r="J714" s="24">
        <v>8.7499999999999994E-2</v>
      </c>
      <c r="K714" s="24">
        <v>0.23749999999999999</v>
      </c>
    </row>
    <row r="715" spans="1:11" x14ac:dyDescent="0.2">
      <c r="A715" s="22" t="s">
        <v>628</v>
      </c>
      <c r="B715" s="25">
        <v>5</v>
      </c>
      <c r="C715" s="25">
        <v>3</v>
      </c>
      <c r="D715" s="25">
        <v>3</v>
      </c>
      <c r="E715" s="25">
        <v>3</v>
      </c>
      <c r="F715" s="25">
        <v>2</v>
      </c>
      <c r="G715" s="25">
        <v>2</v>
      </c>
      <c r="H715" s="25">
        <v>1</v>
      </c>
      <c r="I715" s="24">
        <v>0.2</v>
      </c>
      <c r="J715" s="24" t="s">
        <v>1233</v>
      </c>
      <c r="K715" s="24">
        <v>0</v>
      </c>
    </row>
    <row r="716" spans="1:11" x14ac:dyDescent="0.2">
      <c r="A716" s="22" t="s">
        <v>1227</v>
      </c>
      <c r="B716" s="25">
        <v>7</v>
      </c>
      <c r="C716" s="25">
        <v>4</v>
      </c>
      <c r="D716" s="25">
        <v>2</v>
      </c>
      <c r="E716" s="25">
        <v>2</v>
      </c>
      <c r="F716" s="25">
        <v>2</v>
      </c>
      <c r="G716" s="25">
        <v>2</v>
      </c>
      <c r="H716" s="25">
        <v>1</v>
      </c>
      <c r="I716" s="24">
        <v>0.14285714285714285</v>
      </c>
      <c r="J716" s="24" t="s">
        <v>1233</v>
      </c>
      <c r="K716" s="24">
        <v>0</v>
      </c>
    </row>
    <row r="717" spans="1:11" hidden="1" x14ac:dyDescent="0.2">
      <c r="A717" s="22" t="s">
        <v>1228</v>
      </c>
      <c r="B717" s="25">
        <v>45</v>
      </c>
      <c r="C717" s="25">
        <v>27</v>
      </c>
      <c r="D717" s="25">
        <v>17</v>
      </c>
      <c r="E717" s="25">
        <v>15</v>
      </c>
      <c r="F717" s="25">
        <v>8</v>
      </c>
      <c r="G717" s="25">
        <v>8</v>
      </c>
      <c r="H717" s="25">
        <v>1</v>
      </c>
      <c r="I717" s="24">
        <v>2.2222222222222223E-2</v>
      </c>
      <c r="J717" s="24">
        <v>3.8461538461538464E-2</v>
      </c>
      <c r="K717" s="24">
        <v>1.7307692307692308</v>
      </c>
    </row>
    <row r="718" spans="1:11" hidden="1" x14ac:dyDescent="0.2">
      <c r="A718" s="22" t="s">
        <v>1229</v>
      </c>
      <c r="B718" s="25">
        <v>50</v>
      </c>
      <c r="C718" s="25">
        <v>27</v>
      </c>
      <c r="D718" s="25">
        <v>15</v>
      </c>
      <c r="E718" s="25">
        <v>9</v>
      </c>
      <c r="F718" s="25">
        <v>2</v>
      </c>
      <c r="G718" s="25">
        <v>2</v>
      </c>
      <c r="H718" s="25">
        <v>1</v>
      </c>
      <c r="I718" s="24">
        <v>0.02</v>
      </c>
      <c r="J718" s="24" t="s">
        <v>1233</v>
      </c>
      <c r="K718" s="24">
        <v>0</v>
      </c>
    </row>
    <row r="719" spans="1:11" hidden="1" x14ac:dyDescent="0.2">
      <c r="A719" s="22" t="s">
        <v>1230</v>
      </c>
      <c r="B719" s="25">
        <v>14</v>
      </c>
      <c r="C719" s="25">
        <v>12</v>
      </c>
      <c r="D719" s="25">
        <v>6</v>
      </c>
      <c r="E719" s="25">
        <v>4</v>
      </c>
      <c r="F719" s="25">
        <v>2</v>
      </c>
      <c r="G719" s="25">
        <v>2</v>
      </c>
      <c r="H719" s="25">
        <v>1</v>
      </c>
      <c r="I719" s="24">
        <v>7.1428571428571425E-2</v>
      </c>
      <c r="J719" s="24" t="s">
        <v>1233</v>
      </c>
      <c r="K719" s="24">
        <v>0</v>
      </c>
    </row>
    <row r="720" spans="1:11" x14ac:dyDescent="0.2">
      <c r="A720" s="22" t="s">
        <v>1231</v>
      </c>
      <c r="B720" s="25">
        <v>6</v>
      </c>
      <c r="C720" s="25">
        <v>3</v>
      </c>
      <c r="D720" s="25">
        <v>1</v>
      </c>
      <c r="E720" s="25">
        <v>1</v>
      </c>
      <c r="F720" s="25">
        <v>1</v>
      </c>
      <c r="G720" s="25">
        <v>1</v>
      </c>
      <c r="H720" s="25">
        <v>1</v>
      </c>
      <c r="I720" s="24">
        <v>0.16666666666666666</v>
      </c>
      <c r="J720" s="24" t="s">
        <v>1233</v>
      </c>
      <c r="K720" s="24">
        <v>0</v>
      </c>
    </row>
    <row r="721" spans="1:11" x14ac:dyDescent="0.2">
      <c r="A721" s="22" t="s">
        <v>1232</v>
      </c>
      <c r="B721" s="25">
        <v>6</v>
      </c>
      <c r="C721" s="25">
        <v>5</v>
      </c>
      <c r="D721" s="25">
        <v>5</v>
      </c>
      <c r="E721" s="25">
        <v>5</v>
      </c>
      <c r="F721" s="25">
        <v>2</v>
      </c>
      <c r="G721" s="25">
        <v>2</v>
      </c>
      <c r="H721" s="25">
        <v>1</v>
      </c>
      <c r="I721" s="24">
        <v>0.16666666666666666</v>
      </c>
      <c r="J721" s="24" t="s">
        <v>1233</v>
      </c>
      <c r="K721" s="24">
        <v>0</v>
      </c>
    </row>
  </sheetData>
  <autoFilter ref="A1:K721" xr:uid="{07472BBD-9688-8046-937B-09234651CA13}">
    <filterColumn colId="8">
      <customFilters>
        <customFilter operator="greaterThanOrEqual" val="0.12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pane ySplit="1" topLeftCell="A2" activePane="bottomLeft" state="frozen"/>
      <selection pane="bottomLeft" sqref="A1:XFD1"/>
    </sheetView>
  </sheetViews>
  <sheetFormatPr baseColWidth="10" defaultColWidth="8.83203125" defaultRowHeight="15" x14ac:dyDescent="0.2"/>
  <cols>
    <col min="1" max="10" width="17" customWidth="1"/>
  </cols>
  <sheetData>
    <row r="1" spans="1:10" ht="28" x14ac:dyDescent="0.2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138</v>
      </c>
      <c r="G1" s="5" t="s">
        <v>36</v>
      </c>
      <c r="H1" s="5" t="s">
        <v>37</v>
      </c>
      <c r="I1" s="5" t="s">
        <v>38</v>
      </c>
      <c r="J1" s="5" t="s">
        <v>39</v>
      </c>
    </row>
    <row r="2" spans="1:10" x14ac:dyDescent="0.2">
      <c r="A2" s="6" t="s">
        <v>139</v>
      </c>
      <c r="B2" s="6" t="s">
        <v>140</v>
      </c>
      <c r="C2" s="6" t="s">
        <v>49</v>
      </c>
      <c r="D2" s="7">
        <v>375</v>
      </c>
      <c r="E2" s="7">
        <v>61.200923787528858</v>
      </c>
      <c r="F2" s="9">
        <v>1.8846635011928681</v>
      </c>
      <c r="G2" s="9">
        <v>-1.428571428571429</v>
      </c>
      <c r="H2" s="6" t="s">
        <v>63</v>
      </c>
      <c r="I2" s="6" t="s">
        <v>58</v>
      </c>
      <c r="J2" s="6">
        <v>1</v>
      </c>
    </row>
    <row r="3" spans="1:10" x14ac:dyDescent="0.2">
      <c r="A3" s="6" t="s">
        <v>141</v>
      </c>
      <c r="B3" s="6" t="s">
        <v>142</v>
      </c>
      <c r="C3" s="6" t="s">
        <v>49</v>
      </c>
      <c r="D3" s="7">
        <v>0</v>
      </c>
      <c r="E3" s="7">
        <v>79.445727482678976</v>
      </c>
      <c r="F3" s="9">
        <v>-1.384113661892663</v>
      </c>
      <c r="G3" s="9"/>
      <c r="H3" s="6" t="s">
        <v>50</v>
      </c>
      <c r="I3" s="6" t="s">
        <v>143</v>
      </c>
      <c r="J3" s="6"/>
    </row>
    <row r="4" spans="1:10" x14ac:dyDescent="0.2">
      <c r="A4" s="6" t="s">
        <v>144</v>
      </c>
      <c r="B4" s="6" t="s">
        <v>145</v>
      </c>
      <c r="C4" s="6" t="s">
        <v>56</v>
      </c>
      <c r="D4" s="7">
        <v>406.82396088019561</v>
      </c>
      <c r="E4" s="7">
        <v>377.82909930715942</v>
      </c>
      <c r="F4" s="9">
        <v>-1.273147819780216</v>
      </c>
      <c r="G4" s="9">
        <v>-1.2683810015939949</v>
      </c>
      <c r="H4" s="6" t="s">
        <v>50</v>
      </c>
      <c r="I4" s="6" t="s">
        <v>51</v>
      </c>
      <c r="J4" s="6"/>
    </row>
    <row r="5" spans="1:10" x14ac:dyDescent="0.2">
      <c r="A5" s="6" t="s">
        <v>146</v>
      </c>
      <c r="B5" s="6" t="s">
        <v>147</v>
      </c>
      <c r="C5" s="6" t="s">
        <v>56</v>
      </c>
      <c r="D5" s="7">
        <v>534.1846733668342</v>
      </c>
      <c r="E5" s="7">
        <v>183.83371824480369</v>
      </c>
      <c r="F5" s="9">
        <v>-1.273147819780216</v>
      </c>
      <c r="G5" s="9">
        <v>-1.3468537992419749</v>
      </c>
      <c r="H5" s="6" t="s">
        <v>50</v>
      </c>
      <c r="I5" s="6" t="s">
        <v>51</v>
      </c>
      <c r="J5" s="6"/>
    </row>
    <row r="6" spans="1:10" x14ac:dyDescent="0.2">
      <c r="A6" s="6" t="s">
        <v>148</v>
      </c>
      <c r="B6" s="6" t="s">
        <v>149</v>
      </c>
      <c r="C6" s="6" t="s">
        <v>56</v>
      </c>
      <c r="D6" s="7">
        <v>698.78528225806451</v>
      </c>
      <c r="E6" s="7">
        <v>229.09930715935329</v>
      </c>
      <c r="F6" s="9">
        <v>-1.1309036745989971</v>
      </c>
      <c r="G6" s="9">
        <v>-1.1334803401878319</v>
      </c>
      <c r="H6" s="6" t="s">
        <v>57</v>
      </c>
      <c r="I6" s="6" t="s">
        <v>58</v>
      </c>
      <c r="J6" s="6">
        <v>3</v>
      </c>
    </row>
    <row r="7" spans="1:10" x14ac:dyDescent="0.2">
      <c r="A7" s="6" t="s">
        <v>150</v>
      </c>
      <c r="B7" s="6" t="s">
        <v>151</v>
      </c>
      <c r="C7" s="6" t="s">
        <v>49</v>
      </c>
      <c r="D7" s="7">
        <v>0</v>
      </c>
      <c r="E7" s="7">
        <v>280.60046189376442</v>
      </c>
      <c r="F7" s="9">
        <v>-1.384113661892663</v>
      </c>
      <c r="G7" s="9"/>
      <c r="H7" s="6" t="s">
        <v>50</v>
      </c>
      <c r="I7" s="6" t="s">
        <v>143</v>
      </c>
      <c r="J7" s="6"/>
    </row>
    <row r="8" spans="1:10" x14ac:dyDescent="0.2">
      <c r="A8" s="6" t="s">
        <v>152</v>
      </c>
      <c r="B8" s="6" t="s">
        <v>153</v>
      </c>
      <c r="C8" s="6" t="s">
        <v>56</v>
      </c>
      <c r="D8" s="7">
        <v>452.36148648648651</v>
      </c>
      <c r="E8" s="7">
        <v>68.360277136258659</v>
      </c>
      <c r="F8" s="9">
        <v>-1.273147819780216</v>
      </c>
      <c r="G8" s="9">
        <v>-1.2779296935051381</v>
      </c>
      <c r="H8" s="6" t="s">
        <v>50</v>
      </c>
      <c r="I8" s="6" t="s">
        <v>51</v>
      </c>
      <c r="J8" s="6"/>
    </row>
    <row r="9" spans="1:10" x14ac:dyDescent="0.2">
      <c r="A9" s="6" t="s">
        <v>154</v>
      </c>
      <c r="B9" s="6" t="s">
        <v>155</v>
      </c>
      <c r="C9" s="6" t="s">
        <v>56</v>
      </c>
      <c r="D9" s="7">
        <v>582.83817951959543</v>
      </c>
      <c r="E9" s="7">
        <v>182.67898383371821</v>
      </c>
      <c r="F9" s="9">
        <v>-1.273147819780216</v>
      </c>
      <c r="G9" s="9">
        <v>-1.1614066113453949</v>
      </c>
      <c r="H9" s="6" t="s">
        <v>50</v>
      </c>
      <c r="I9" s="6" t="s">
        <v>51</v>
      </c>
      <c r="J9" s="6"/>
    </row>
    <row r="10" spans="1:10" x14ac:dyDescent="0.2">
      <c r="A10" s="6" t="s">
        <v>156</v>
      </c>
      <c r="B10" s="6" t="s">
        <v>157</v>
      </c>
      <c r="C10" s="6" t="s">
        <v>56</v>
      </c>
      <c r="D10" s="7">
        <v>513.99646643109543</v>
      </c>
      <c r="E10" s="7">
        <v>130.715935334873</v>
      </c>
      <c r="F10" s="9">
        <v>-0.92296836695840145</v>
      </c>
      <c r="G10" s="9">
        <v>-1.0782694761177849</v>
      </c>
      <c r="H10" s="6" t="s">
        <v>63</v>
      </c>
      <c r="I10" s="6" t="s">
        <v>58</v>
      </c>
      <c r="J10" s="6">
        <v>1</v>
      </c>
    </row>
    <row r="11" spans="1:10" x14ac:dyDescent="0.2">
      <c r="A11" s="6" t="s">
        <v>158</v>
      </c>
      <c r="B11" s="6" t="s">
        <v>159</v>
      </c>
      <c r="C11" s="6" t="s">
        <v>56</v>
      </c>
      <c r="D11" s="7">
        <v>263.02959094865099</v>
      </c>
      <c r="E11" s="7">
        <v>265.35796766743653</v>
      </c>
      <c r="F11" s="9">
        <v>-0.90525285458289018</v>
      </c>
      <c r="G11" s="9">
        <v>-1.13103047025562</v>
      </c>
      <c r="H11" s="6" t="s">
        <v>57</v>
      </c>
      <c r="I11" s="6" t="s">
        <v>58</v>
      </c>
      <c r="J11" s="6">
        <v>4</v>
      </c>
    </row>
    <row r="12" spans="1:10" x14ac:dyDescent="0.2">
      <c r="A12" s="6" t="s">
        <v>160</v>
      </c>
      <c r="B12" s="6" t="s">
        <v>161</v>
      </c>
      <c r="C12" s="6" t="s">
        <v>56</v>
      </c>
      <c r="D12" s="7">
        <v>171.55622188905551</v>
      </c>
      <c r="E12" s="7">
        <v>154.04157043879911</v>
      </c>
      <c r="F12" s="9">
        <v>0.21683755115706321</v>
      </c>
      <c r="G12" s="9">
        <v>-1.031058513741024</v>
      </c>
      <c r="H12" s="6" t="s">
        <v>57</v>
      </c>
      <c r="I12" s="6" t="s">
        <v>58</v>
      </c>
      <c r="J12" s="6">
        <v>3</v>
      </c>
    </row>
    <row r="13" spans="1:10" x14ac:dyDescent="0.2">
      <c r="A13" s="6" t="s">
        <v>162</v>
      </c>
      <c r="B13" s="6" t="s">
        <v>163</v>
      </c>
      <c r="C13" s="6" t="s">
        <v>56</v>
      </c>
      <c r="D13" s="7">
        <v>531.26943005181352</v>
      </c>
      <c r="E13" s="7">
        <v>356.58198614318712</v>
      </c>
      <c r="F13" s="9">
        <v>-1.273147819780216</v>
      </c>
      <c r="G13" s="9">
        <v>-1.128921785092895</v>
      </c>
      <c r="H13" s="6" t="s">
        <v>50</v>
      </c>
      <c r="I13" s="6" t="s">
        <v>51</v>
      </c>
      <c r="J13" s="6"/>
    </row>
    <row r="14" spans="1:10" x14ac:dyDescent="0.2">
      <c r="A14" s="6" t="s">
        <v>164</v>
      </c>
      <c r="B14" s="6" t="s">
        <v>165</v>
      </c>
      <c r="C14" s="6" t="s">
        <v>56</v>
      </c>
      <c r="D14" s="7">
        <v>935.69503546099293</v>
      </c>
      <c r="E14" s="7">
        <v>65.127020785219401</v>
      </c>
      <c r="F14" s="9">
        <v>4.7044903064414591E-2</v>
      </c>
      <c r="G14" s="9">
        <v>-1.817190420559621</v>
      </c>
      <c r="H14" s="6" t="s">
        <v>63</v>
      </c>
      <c r="I14" s="6" t="s">
        <v>58</v>
      </c>
      <c r="J14" s="6">
        <v>1</v>
      </c>
    </row>
    <row r="15" spans="1:10" x14ac:dyDescent="0.2">
      <c r="A15" s="6" t="s">
        <v>166</v>
      </c>
      <c r="B15" s="6" t="s">
        <v>167</v>
      </c>
      <c r="C15" s="6" t="s">
        <v>56</v>
      </c>
      <c r="D15" s="7">
        <v>403.13186813186809</v>
      </c>
      <c r="E15" s="7">
        <v>609.46882217090069</v>
      </c>
      <c r="F15" s="9">
        <v>0.62032278790156792</v>
      </c>
      <c r="G15" s="9">
        <v>-1.100851377265422</v>
      </c>
      <c r="H15" s="6" t="s">
        <v>63</v>
      </c>
      <c r="I15" s="6" t="s">
        <v>58</v>
      </c>
      <c r="J15" s="6">
        <v>1</v>
      </c>
    </row>
    <row r="16" spans="1:10" x14ac:dyDescent="0.2">
      <c r="A16" s="6" t="s">
        <v>168</v>
      </c>
      <c r="B16" s="6" t="s">
        <v>169</v>
      </c>
      <c r="C16" s="6" t="s">
        <v>56</v>
      </c>
      <c r="D16" s="7">
        <v>370.89439555349702</v>
      </c>
      <c r="E16" s="7">
        <v>498.61431870669747</v>
      </c>
      <c r="F16" s="9">
        <v>-1.263496507162335</v>
      </c>
      <c r="G16" s="9">
        <v>-1.156367649698836</v>
      </c>
      <c r="H16" s="6" t="s">
        <v>63</v>
      </c>
      <c r="I16" s="6" t="s">
        <v>58</v>
      </c>
      <c r="J16" s="6">
        <v>2</v>
      </c>
    </row>
    <row r="17" spans="1:10" x14ac:dyDescent="0.2">
      <c r="A17" s="6" t="s">
        <v>170</v>
      </c>
      <c r="B17" s="6" t="s">
        <v>171</v>
      </c>
      <c r="C17" s="6" t="s">
        <v>56</v>
      </c>
      <c r="D17" s="7">
        <v>133.21818181818179</v>
      </c>
      <c r="E17" s="7">
        <v>63.510392609699771</v>
      </c>
      <c r="F17" s="9">
        <v>0.20677199009892061</v>
      </c>
      <c r="G17" s="9">
        <v>-1.05790414082287</v>
      </c>
      <c r="H17" s="6" t="s">
        <v>63</v>
      </c>
      <c r="I17" s="6" t="s">
        <v>58</v>
      </c>
      <c r="J17" s="6">
        <v>2</v>
      </c>
    </row>
    <row r="18" spans="1:10" x14ac:dyDescent="0.2">
      <c r="A18" s="6" t="s">
        <v>172</v>
      </c>
      <c r="B18" s="6" t="s">
        <v>173</v>
      </c>
      <c r="C18" s="6" t="s">
        <v>56</v>
      </c>
      <c r="D18" s="7">
        <v>142.05987850737631</v>
      </c>
      <c r="E18" s="7">
        <v>798.38337182448038</v>
      </c>
      <c r="F18" s="9">
        <v>0.75247043742545516</v>
      </c>
      <c r="G18" s="9">
        <v>-1.076570584395681</v>
      </c>
      <c r="H18" s="6" t="s">
        <v>57</v>
      </c>
      <c r="I18" s="6" t="s">
        <v>58</v>
      </c>
      <c r="J18" s="6">
        <v>3</v>
      </c>
    </row>
    <row r="19" spans="1:10" x14ac:dyDescent="0.2">
      <c r="A19" s="6" t="s">
        <v>174</v>
      </c>
      <c r="B19" s="6" t="s">
        <v>175</v>
      </c>
      <c r="C19" s="6" t="s">
        <v>56</v>
      </c>
      <c r="D19" s="7">
        <v>133.25474452554741</v>
      </c>
      <c r="E19" s="7">
        <v>316.39722863741338</v>
      </c>
      <c r="F19" s="9">
        <v>-1.103693837988786</v>
      </c>
      <c r="G19" s="9">
        <v>-1.158470371970636</v>
      </c>
      <c r="H19" s="6" t="s">
        <v>57</v>
      </c>
      <c r="I19" s="6" t="s">
        <v>58</v>
      </c>
      <c r="J19" s="6">
        <v>3</v>
      </c>
    </row>
    <row r="20" spans="1:10" x14ac:dyDescent="0.2">
      <c r="A20" s="6" t="s">
        <v>176</v>
      </c>
      <c r="B20" s="6" t="s">
        <v>177</v>
      </c>
      <c r="C20" s="6" t="s">
        <v>56</v>
      </c>
      <c r="D20" s="7">
        <v>185.53159851301109</v>
      </c>
      <c r="E20" s="7">
        <v>62.124711316397217</v>
      </c>
      <c r="F20" s="9">
        <v>-1.3563085569661959</v>
      </c>
      <c r="G20" s="9">
        <v>-1.2341490435023439</v>
      </c>
      <c r="H20" s="6" t="s">
        <v>57</v>
      </c>
      <c r="I20" s="6" t="s">
        <v>58</v>
      </c>
      <c r="J20" s="6">
        <v>3</v>
      </c>
    </row>
    <row r="21" spans="1:10" x14ac:dyDescent="0.2">
      <c r="A21" s="6" t="s">
        <v>178</v>
      </c>
      <c r="B21" s="6" t="s">
        <v>179</v>
      </c>
      <c r="C21" s="6" t="s">
        <v>49</v>
      </c>
      <c r="D21" s="7">
        <v>1699</v>
      </c>
      <c r="E21" s="7">
        <v>115.01154734411089</v>
      </c>
      <c r="F21" s="9">
        <v>-1.384113661892663</v>
      </c>
      <c r="G21" s="9">
        <v>-1.370539853194934</v>
      </c>
      <c r="H21" s="6" t="s">
        <v>50</v>
      </c>
      <c r="I21" s="6" t="s">
        <v>143</v>
      </c>
      <c r="J21" s="6"/>
    </row>
    <row r="22" spans="1:10" x14ac:dyDescent="0.2">
      <c r="A22" s="6" t="s">
        <v>180</v>
      </c>
      <c r="B22" s="6" t="s">
        <v>181</v>
      </c>
      <c r="C22" s="6" t="s">
        <v>49</v>
      </c>
      <c r="D22" s="7">
        <v>1699</v>
      </c>
      <c r="E22" s="7">
        <v>85.912240184757508</v>
      </c>
      <c r="F22" s="9">
        <v>-1.384113661892663</v>
      </c>
      <c r="G22" s="9">
        <v>-1.375617564468214</v>
      </c>
      <c r="H22" s="6" t="s">
        <v>50</v>
      </c>
      <c r="I22" s="6" t="s">
        <v>143</v>
      </c>
      <c r="J22" s="6"/>
    </row>
    <row r="23" spans="1:10" x14ac:dyDescent="0.2">
      <c r="A23" s="6" t="s">
        <v>182</v>
      </c>
      <c r="B23" s="6" t="s">
        <v>183</v>
      </c>
      <c r="C23" s="6" t="s">
        <v>49</v>
      </c>
      <c r="D23" s="7">
        <v>2799</v>
      </c>
      <c r="E23" s="7">
        <v>189.60739030023089</v>
      </c>
      <c r="F23" s="9">
        <v>-1.504740857521367</v>
      </c>
      <c r="G23" s="9">
        <v>-1.630588368461658</v>
      </c>
      <c r="H23" s="6" t="s">
        <v>50</v>
      </c>
      <c r="I23" s="6" t="s">
        <v>51</v>
      </c>
      <c r="J23" s="6"/>
    </row>
    <row r="24" spans="1:10" x14ac:dyDescent="0.2">
      <c r="A24" s="6" t="s">
        <v>184</v>
      </c>
      <c r="B24" s="6" t="s">
        <v>185</v>
      </c>
      <c r="C24" s="6" t="s">
        <v>49</v>
      </c>
      <c r="D24" s="7">
        <v>3199</v>
      </c>
      <c r="E24" s="7">
        <v>72.748267898383375</v>
      </c>
      <c r="F24" s="9">
        <v>-1.504740857521367</v>
      </c>
      <c r="G24" s="9">
        <v>-1.5274152569348389</v>
      </c>
      <c r="H24" s="6" t="s">
        <v>50</v>
      </c>
      <c r="I24" s="6" t="s">
        <v>51</v>
      </c>
      <c r="J24" s="6"/>
    </row>
    <row r="25" spans="1:10" x14ac:dyDescent="0.2">
      <c r="A25" s="6" t="s">
        <v>186</v>
      </c>
      <c r="B25" s="6" t="s">
        <v>187</v>
      </c>
      <c r="C25" s="6" t="s">
        <v>49</v>
      </c>
      <c r="D25" s="7">
        <v>2799</v>
      </c>
      <c r="E25" s="7">
        <v>267.66743648960738</v>
      </c>
      <c r="F25" s="9">
        <v>-1.504740857521367</v>
      </c>
      <c r="G25" s="9">
        <v>-1.489459445200076</v>
      </c>
      <c r="H25" s="6" t="s">
        <v>50</v>
      </c>
      <c r="I25" s="6" t="s">
        <v>51</v>
      </c>
      <c r="J25" s="6"/>
    </row>
    <row r="26" spans="1:10" x14ac:dyDescent="0.2">
      <c r="A26" s="6" t="s">
        <v>188</v>
      </c>
      <c r="B26" s="6" t="s">
        <v>189</v>
      </c>
      <c r="C26" s="6" t="s">
        <v>49</v>
      </c>
      <c r="D26" s="7">
        <v>3199</v>
      </c>
      <c r="E26" s="7">
        <v>79.90762124711317</v>
      </c>
      <c r="F26" s="9">
        <v>-1.504740857521367</v>
      </c>
      <c r="G26" s="9">
        <v>-1.5458615914426821</v>
      </c>
      <c r="H26" s="6" t="s">
        <v>50</v>
      </c>
      <c r="I26" s="6" t="s">
        <v>51</v>
      </c>
      <c r="J26" s="6"/>
    </row>
    <row r="27" spans="1:10" x14ac:dyDescent="0.2">
      <c r="A27" s="6" t="s">
        <v>190</v>
      </c>
      <c r="B27" s="6" t="s">
        <v>191</v>
      </c>
      <c r="C27" s="6" t="s">
        <v>49</v>
      </c>
      <c r="D27" s="7">
        <v>2499</v>
      </c>
      <c r="E27" s="7">
        <v>291.45496535796758</v>
      </c>
      <c r="F27" s="9">
        <v>-1.384113661892663</v>
      </c>
      <c r="G27" s="9">
        <v>-1.6097709613635121</v>
      </c>
      <c r="H27" s="6" t="s">
        <v>50</v>
      </c>
      <c r="I27" s="6" t="s">
        <v>143</v>
      </c>
      <c r="J27" s="6"/>
    </row>
    <row r="28" spans="1:10" x14ac:dyDescent="0.2">
      <c r="A28" s="6" t="s">
        <v>192</v>
      </c>
      <c r="B28" s="6" t="s">
        <v>193</v>
      </c>
      <c r="C28" s="6" t="s">
        <v>49</v>
      </c>
      <c r="D28" s="7">
        <v>3299</v>
      </c>
      <c r="E28" s="7">
        <v>79.445727482678976</v>
      </c>
      <c r="F28" s="9">
        <v>-1.504740857521367</v>
      </c>
      <c r="G28" s="9">
        <v>-1.611385174030842</v>
      </c>
      <c r="H28" s="6" t="s">
        <v>50</v>
      </c>
      <c r="I28" s="6" t="s">
        <v>51</v>
      </c>
      <c r="J28" s="6"/>
    </row>
    <row r="29" spans="1:10" x14ac:dyDescent="0.2">
      <c r="A29" s="6" t="s">
        <v>194</v>
      </c>
      <c r="B29" s="6" t="s">
        <v>195</v>
      </c>
      <c r="C29" s="6" t="s">
        <v>49</v>
      </c>
      <c r="D29" s="7">
        <v>2499</v>
      </c>
      <c r="E29" s="7">
        <v>1245.2655889145501</v>
      </c>
      <c r="F29" s="9">
        <v>-1.384113661892663</v>
      </c>
      <c r="G29" s="9">
        <v>-1.5824177714777881</v>
      </c>
      <c r="H29" s="6" t="s">
        <v>50</v>
      </c>
      <c r="I29" s="6" t="s">
        <v>143</v>
      </c>
      <c r="J29" s="6"/>
    </row>
    <row r="30" spans="1:10" x14ac:dyDescent="0.2">
      <c r="A30" s="6" t="s">
        <v>196</v>
      </c>
      <c r="B30" s="6" t="s">
        <v>197</v>
      </c>
      <c r="C30" s="6" t="s">
        <v>49</v>
      </c>
      <c r="D30" s="7">
        <v>1799</v>
      </c>
      <c r="E30" s="7">
        <v>4913.6258660508083</v>
      </c>
      <c r="F30" s="9">
        <v>-1.384113661892663</v>
      </c>
      <c r="G30" s="9">
        <v>-1.51924474837337</v>
      </c>
      <c r="H30" s="6" t="s">
        <v>50</v>
      </c>
      <c r="I30" s="6" t="s">
        <v>143</v>
      </c>
      <c r="J30" s="6"/>
    </row>
    <row r="31" spans="1:10" x14ac:dyDescent="0.2">
      <c r="A31" s="6" t="s">
        <v>198</v>
      </c>
      <c r="B31" s="6" t="s">
        <v>199</v>
      </c>
      <c r="C31" s="6" t="s">
        <v>49</v>
      </c>
      <c r="D31" s="7">
        <v>1999</v>
      </c>
      <c r="E31" s="7">
        <v>87.297921478060047</v>
      </c>
      <c r="F31" s="9">
        <v>-1.384113661892663</v>
      </c>
      <c r="G31" s="9">
        <v>-1.469519006360249</v>
      </c>
      <c r="H31" s="6" t="s">
        <v>50</v>
      </c>
      <c r="I31" s="6" t="s">
        <v>143</v>
      </c>
      <c r="J31" s="6"/>
    </row>
    <row r="32" spans="1:10" x14ac:dyDescent="0.2">
      <c r="A32" s="6" t="s">
        <v>200</v>
      </c>
      <c r="B32" s="6" t="s">
        <v>201</v>
      </c>
      <c r="C32" s="6" t="s">
        <v>49</v>
      </c>
      <c r="D32" s="7">
        <v>1799</v>
      </c>
      <c r="E32" s="7">
        <v>72.286374133949195</v>
      </c>
      <c r="F32" s="9">
        <v>-1.384113661892663</v>
      </c>
      <c r="G32" s="9">
        <v>-1.5126099879344339</v>
      </c>
      <c r="H32" s="6" t="s">
        <v>50</v>
      </c>
      <c r="I32" s="6" t="s">
        <v>143</v>
      </c>
      <c r="J32" s="6"/>
    </row>
    <row r="33" spans="1:10" x14ac:dyDescent="0.2">
      <c r="A33" s="6" t="s">
        <v>202</v>
      </c>
      <c r="B33" s="6" t="s">
        <v>203</v>
      </c>
      <c r="C33" s="6" t="s">
        <v>49</v>
      </c>
      <c r="D33" s="7">
        <v>1799</v>
      </c>
      <c r="E33" s="7">
        <v>256.35103926097003</v>
      </c>
      <c r="F33" s="9">
        <v>-1.384113661892663</v>
      </c>
      <c r="G33" s="9">
        <v>-1.479222537373208</v>
      </c>
      <c r="H33" s="6" t="s">
        <v>50</v>
      </c>
      <c r="I33" s="6" t="s">
        <v>143</v>
      </c>
      <c r="J33" s="6"/>
    </row>
    <row r="34" spans="1:10" x14ac:dyDescent="0.2">
      <c r="A34" s="6" t="s">
        <v>204</v>
      </c>
      <c r="B34" s="6" t="s">
        <v>205</v>
      </c>
      <c r="C34" s="6" t="s">
        <v>49</v>
      </c>
      <c r="D34" s="7">
        <v>2299</v>
      </c>
      <c r="E34" s="7">
        <v>61.662817551963037</v>
      </c>
      <c r="F34" s="9">
        <v>-1.384113661892663</v>
      </c>
      <c r="G34" s="9">
        <v>-1.282042702784693</v>
      </c>
      <c r="H34" s="6" t="s">
        <v>50</v>
      </c>
      <c r="I34" s="6" t="s">
        <v>143</v>
      </c>
      <c r="J34" s="6"/>
    </row>
    <row r="35" spans="1:10" x14ac:dyDescent="0.2">
      <c r="A35" s="6" t="s">
        <v>206</v>
      </c>
      <c r="B35" s="6" t="s">
        <v>207</v>
      </c>
      <c r="C35" s="6" t="s">
        <v>56</v>
      </c>
      <c r="D35" s="7">
        <v>385.62150017283102</v>
      </c>
      <c r="E35" s="7">
        <v>668.12933025404152</v>
      </c>
      <c r="F35" s="9">
        <v>1.4489169960360611</v>
      </c>
      <c r="G35" s="9">
        <v>-1.1546860416437881</v>
      </c>
      <c r="H35" s="6" t="s">
        <v>63</v>
      </c>
      <c r="I35" s="6" t="s">
        <v>58</v>
      </c>
      <c r="J35" s="6">
        <v>1</v>
      </c>
    </row>
    <row r="36" spans="1:10" x14ac:dyDescent="0.2">
      <c r="A36" s="6" t="s">
        <v>208</v>
      </c>
      <c r="B36" s="6" t="s">
        <v>209</v>
      </c>
      <c r="C36" s="6" t="s">
        <v>56</v>
      </c>
      <c r="D36" s="7">
        <v>321.99026425591097</v>
      </c>
      <c r="E36" s="7">
        <v>332.10161662817552</v>
      </c>
      <c r="F36" s="9">
        <v>0.17387845339582639</v>
      </c>
      <c r="G36" s="9">
        <v>-1.37923753950114</v>
      </c>
      <c r="H36" s="6" t="s">
        <v>63</v>
      </c>
      <c r="I36" s="6" t="s">
        <v>58</v>
      </c>
      <c r="J36" s="6">
        <v>4</v>
      </c>
    </row>
    <row r="37" spans="1:10" x14ac:dyDescent="0.2">
      <c r="A37" s="6" t="s">
        <v>210</v>
      </c>
      <c r="B37" s="6" t="s">
        <v>211</v>
      </c>
      <c r="C37" s="6" t="s">
        <v>56</v>
      </c>
      <c r="D37" s="7">
        <v>389.23121387283243</v>
      </c>
      <c r="E37" s="7">
        <v>79.90762124711317</v>
      </c>
      <c r="F37" s="9">
        <v>-1.273147819780216</v>
      </c>
      <c r="G37" s="9">
        <v>-1.098278444420052</v>
      </c>
      <c r="H37" s="6" t="s">
        <v>50</v>
      </c>
      <c r="I37" s="6" t="s">
        <v>51</v>
      </c>
      <c r="J37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6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8.83203125" defaultRowHeight="15" x14ac:dyDescent="0.2"/>
  <cols>
    <col min="1" max="8" width="17" customWidth="1"/>
    <col min="9" max="10" width="17" style="18" customWidth="1"/>
    <col min="11" max="13" width="17" customWidth="1"/>
    <col min="14" max="14" width="23.5" customWidth="1"/>
    <col min="15" max="15" width="17" customWidth="1"/>
  </cols>
  <sheetData>
    <row r="1" spans="1:15" ht="42" x14ac:dyDescent="0.2">
      <c r="A1" s="5" t="s">
        <v>28</v>
      </c>
      <c r="B1" s="5" t="s">
        <v>29</v>
      </c>
      <c r="C1" s="5" t="s">
        <v>30</v>
      </c>
      <c r="D1" s="5" t="s">
        <v>31</v>
      </c>
      <c r="E1" s="5" t="s">
        <v>212</v>
      </c>
      <c r="F1" s="5" t="s">
        <v>213</v>
      </c>
      <c r="G1" s="5" t="s">
        <v>214</v>
      </c>
      <c r="H1" s="5" t="s">
        <v>215</v>
      </c>
      <c r="I1" s="5" t="s">
        <v>216</v>
      </c>
      <c r="J1" s="5" t="s">
        <v>35</v>
      </c>
      <c r="K1" s="5" t="s">
        <v>38</v>
      </c>
      <c r="L1" s="5" t="s">
        <v>37</v>
      </c>
      <c r="M1" s="5" t="s">
        <v>41</v>
      </c>
      <c r="N1" s="5" t="s">
        <v>42</v>
      </c>
      <c r="O1" s="5" t="s">
        <v>217</v>
      </c>
    </row>
    <row r="2" spans="1:15" x14ac:dyDescent="0.2">
      <c r="A2" s="6" t="s">
        <v>218</v>
      </c>
      <c r="B2" s="6" t="s">
        <v>219</v>
      </c>
      <c r="C2" s="6" t="s">
        <v>49</v>
      </c>
      <c r="D2" s="7">
        <v>310</v>
      </c>
      <c r="E2" s="7">
        <v>18</v>
      </c>
      <c r="F2" s="7">
        <v>4.1570438799076213</v>
      </c>
      <c r="G2" s="6" t="s">
        <v>220</v>
      </c>
      <c r="H2" s="6">
        <v>1</v>
      </c>
      <c r="I2" s="16">
        <v>-1.899336733973277</v>
      </c>
      <c r="J2" s="16">
        <v>-1.899336733973277</v>
      </c>
      <c r="K2" s="6" t="s">
        <v>58</v>
      </c>
      <c r="L2" s="6" t="s">
        <v>63</v>
      </c>
      <c r="M2" s="7">
        <v>93</v>
      </c>
      <c r="N2" s="6" t="s">
        <v>132</v>
      </c>
      <c r="O2" s="6"/>
    </row>
    <row r="3" spans="1:15" x14ac:dyDescent="0.2">
      <c r="A3" s="6" t="s">
        <v>221</v>
      </c>
      <c r="B3" s="6" t="s">
        <v>222</v>
      </c>
      <c r="C3" s="6" t="s">
        <v>49</v>
      </c>
      <c r="D3" s="7">
        <v>310</v>
      </c>
      <c r="E3" s="7">
        <v>30</v>
      </c>
      <c r="F3" s="7">
        <v>6.9284064665127021</v>
      </c>
      <c r="G3" s="6" t="s">
        <v>220</v>
      </c>
      <c r="H3" s="6">
        <v>1</v>
      </c>
      <c r="I3" s="16">
        <v>-1.3145387745991519</v>
      </c>
      <c r="J3" s="16">
        <v>-1.3145387745991519</v>
      </c>
      <c r="K3" s="6" t="s">
        <v>58</v>
      </c>
      <c r="L3" s="6" t="s">
        <v>63</v>
      </c>
      <c r="M3" s="7">
        <v>93</v>
      </c>
      <c r="N3" s="6" t="s">
        <v>132</v>
      </c>
      <c r="O3" s="6"/>
    </row>
    <row r="4" spans="1:15" x14ac:dyDescent="0.2">
      <c r="A4" s="6" t="s">
        <v>223</v>
      </c>
      <c r="B4" s="6" t="s">
        <v>224</v>
      </c>
      <c r="C4" s="6" t="s">
        <v>49</v>
      </c>
      <c r="D4" s="7"/>
      <c r="E4" s="7"/>
      <c r="F4" s="7"/>
      <c r="G4" s="6"/>
      <c r="H4" s="6"/>
      <c r="I4" s="16"/>
      <c r="J4" s="16">
        <v>-1.384113661892663</v>
      </c>
      <c r="K4" s="6" t="s">
        <v>143</v>
      </c>
      <c r="L4" s="6" t="s">
        <v>50</v>
      </c>
      <c r="M4" s="7"/>
      <c r="N4" s="6" t="s">
        <v>132</v>
      </c>
      <c r="O4" s="6"/>
    </row>
    <row r="5" spans="1:15" x14ac:dyDescent="0.2">
      <c r="A5" s="6" t="s">
        <v>225</v>
      </c>
      <c r="B5" s="6" t="s">
        <v>226</v>
      </c>
      <c r="C5" s="6" t="s">
        <v>49</v>
      </c>
      <c r="D5" s="7">
        <v>310</v>
      </c>
      <c r="E5" s="7">
        <v>165</v>
      </c>
      <c r="F5" s="7">
        <v>38.106235565819858</v>
      </c>
      <c r="G5" s="6" t="s">
        <v>220</v>
      </c>
      <c r="H5" s="6">
        <v>1</v>
      </c>
      <c r="I5" s="16">
        <v>-1.8378240512615081</v>
      </c>
      <c r="J5" s="16">
        <v>-1.8378240512615081</v>
      </c>
      <c r="K5" s="6" t="s">
        <v>58</v>
      </c>
      <c r="L5" s="6" t="s">
        <v>63</v>
      </c>
      <c r="M5" s="7">
        <v>93</v>
      </c>
      <c r="N5" s="6" t="s">
        <v>132</v>
      </c>
      <c r="O5" s="6"/>
    </row>
    <row r="6" spans="1:15" x14ac:dyDescent="0.2">
      <c r="A6" s="6" t="s">
        <v>130</v>
      </c>
      <c r="B6" s="6" t="s">
        <v>131</v>
      </c>
      <c r="C6" s="6" t="s">
        <v>49</v>
      </c>
      <c r="D6" s="7">
        <v>375</v>
      </c>
      <c r="E6" s="7">
        <v>230</v>
      </c>
      <c r="F6" s="7">
        <v>53.117782909930717</v>
      </c>
      <c r="G6" s="6" t="s">
        <v>220</v>
      </c>
      <c r="H6" s="6">
        <v>1</v>
      </c>
      <c r="I6" s="16">
        <v>-0.77725328634684787</v>
      </c>
      <c r="J6" s="16">
        <v>-0.77725328634684787</v>
      </c>
      <c r="K6" s="6" t="s">
        <v>58</v>
      </c>
      <c r="L6" s="6" t="s">
        <v>63</v>
      </c>
      <c r="M6" s="7">
        <v>112.5</v>
      </c>
      <c r="N6" s="6" t="s">
        <v>132</v>
      </c>
      <c r="O6" s="6"/>
    </row>
    <row r="7" spans="1:15" x14ac:dyDescent="0.2">
      <c r="A7" s="6" t="s">
        <v>139</v>
      </c>
      <c r="B7" s="6" t="s">
        <v>140</v>
      </c>
      <c r="C7" s="6" t="s">
        <v>49</v>
      </c>
      <c r="D7" s="7">
        <v>375</v>
      </c>
      <c r="E7" s="7">
        <v>265</v>
      </c>
      <c r="F7" s="7">
        <v>61.200923787528858</v>
      </c>
      <c r="G7" s="6" t="s">
        <v>220</v>
      </c>
      <c r="H7" s="6">
        <v>1</v>
      </c>
      <c r="I7" s="16">
        <v>1.8846635011928681</v>
      </c>
      <c r="J7" s="16">
        <v>1.8846635011928681</v>
      </c>
      <c r="K7" s="6" t="s">
        <v>58</v>
      </c>
      <c r="L7" s="6" t="s">
        <v>63</v>
      </c>
      <c r="M7" s="7">
        <v>112.5</v>
      </c>
      <c r="N7" s="6" t="s">
        <v>132</v>
      </c>
      <c r="O7" s="6"/>
    </row>
    <row r="8" spans="1:15" x14ac:dyDescent="0.2">
      <c r="A8" s="6" t="s">
        <v>227</v>
      </c>
      <c r="B8" s="6" t="s">
        <v>228</v>
      </c>
      <c r="C8" s="6" t="s">
        <v>49</v>
      </c>
      <c r="D8" s="7">
        <v>435</v>
      </c>
      <c r="E8" s="7">
        <v>30</v>
      </c>
      <c r="F8" s="7">
        <v>6.9284064665127021</v>
      </c>
      <c r="G8" s="6" t="s">
        <v>220</v>
      </c>
      <c r="H8" s="6">
        <v>1</v>
      </c>
      <c r="I8" s="16">
        <v>-2.646739287717212</v>
      </c>
      <c r="J8" s="16">
        <v>-2.646739287717212</v>
      </c>
      <c r="K8" s="6" t="s">
        <v>58</v>
      </c>
      <c r="L8" s="6" t="s">
        <v>63</v>
      </c>
      <c r="M8" s="7">
        <v>130.5</v>
      </c>
      <c r="N8" s="6" t="s">
        <v>132</v>
      </c>
      <c r="O8" s="6"/>
    </row>
    <row r="9" spans="1:15" x14ac:dyDescent="0.2">
      <c r="A9" s="6" t="s">
        <v>229</v>
      </c>
      <c r="B9" s="6" t="s">
        <v>230</v>
      </c>
      <c r="C9" s="6" t="s">
        <v>49</v>
      </c>
      <c r="D9" s="7">
        <v>375</v>
      </c>
      <c r="E9" s="7">
        <v>49</v>
      </c>
      <c r="F9" s="7">
        <v>11.31639722863741</v>
      </c>
      <c r="G9" s="6" t="s">
        <v>220</v>
      </c>
      <c r="H9" s="6">
        <v>1</v>
      </c>
      <c r="I9" s="16">
        <v>-1.600987415872523</v>
      </c>
      <c r="J9" s="16">
        <v>-1.600987415872523</v>
      </c>
      <c r="K9" s="6" t="s">
        <v>58</v>
      </c>
      <c r="L9" s="6" t="s">
        <v>63</v>
      </c>
      <c r="M9" s="7">
        <v>112.5</v>
      </c>
      <c r="N9" s="6" t="s">
        <v>132</v>
      </c>
      <c r="O9" s="6"/>
    </row>
    <row r="10" spans="1:15" x14ac:dyDescent="0.2">
      <c r="A10" s="6" t="s">
        <v>231</v>
      </c>
      <c r="B10" s="6" t="s">
        <v>232</v>
      </c>
      <c r="C10" s="6" t="s">
        <v>49</v>
      </c>
      <c r="D10" s="7"/>
      <c r="E10" s="7"/>
      <c r="F10" s="7"/>
      <c r="G10" s="6"/>
      <c r="H10" s="6">
        <v>1</v>
      </c>
      <c r="I10" s="16">
        <v>-1.622213449442661</v>
      </c>
      <c r="J10" s="16">
        <v>-1.622213449442661</v>
      </c>
      <c r="K10" s="6" t="s">
        <v>58</v>
      </c>
      <c r="L10" s="6" t="s">
        <v>63</v>
      </c>
      <c r="M10" s="7"/>
      <c r="N10" s="6" t="s">
        <v>132</v>
      </c>
      <c r="O10" s="6"/>
    </row>
    <row r="11" spans="1:15" x14ac:dyDescent="0.2">
      <c r="A11" s="6" t="s">
        <v>233</v>
      </c>
      <c r="B11" s="6" t="s">
        <v>234</v>
      </c>
      <c r="C11" s="6" t="s">
        <v>49</v>
      </c>
      <c r="D11" s="7">
        <v>435</v>
      </c>
      <c r="E11" s="7">
        <v>25</v>
      </c>
      <c r="F11" s="7">
        <v>5.7736720554272516</v>
      </c>
      <c r="G11" s="6" t="s">
        <v>220</v>
      </c>
      <c r="H11" s="6">
        <v>1</v>
      </c>
      <c r="I11" s="16">
        <v>1.3860368750734859</v>
      </c>
      <c r="J11" s="16">
        <v>1.3860368750734859</v>
      </c>
      <c r="K11" s="6" t="s">
        <v>58</v>
      </c>
      <c r="L11" s="6" t="s">
        <v>63</v>
      </c>
      <c r="M11" s="7">
        <v>130.5</v>
      </c>
      <c r="N11" s="6" t="s">
        <v>132</v>
      </c>
      <c r="O11" s="6"/>
    </row>
    <row r="12" spans="1:15" x14ac:dyDescent="0.2">
      <c r="A12" s="6" t="s">
        <v>235</v>
      </c>
      <c r="B12" s="6" t="s">
        <v>236</v>
      </c>
      <c r="C12" s="6" t="s">
        <v>49</v>
      </c>
      <c r="D12" s="7">
        <v>310</v>
      </c>
      <c r="E12" s="7">
        <v>19</v>
      </c>
      <c r="F12" s="7">
        <v>4.3879907621247112</v>
      </c>
      <c r="G12" s="6" t="s">
        <v>220</v>
      </c>
      <c r="H12" s="6">
        <v>1</v>
      </c>
      <c r="I12" s="16">
        <v>1.526095371744105</v>
      </c>
      <c r="J12" s="16">
        <v>1.526095371744105</v>
      </c>
      <c r="K12" s="6" t="s">
        <v>58</v>
      </c>
      <c r="L12" s="6" t="s">
        <v>63</v>
      </c>
      <c r="M12" s="7">
        <v>93</v>
      </c>
      <c r="N12" s="6" t="s">
        <v>132</v>
      </c>
      <c r="O12" s="6"/>
    </row>
    <row r="13" spans="1:15" x14ac:dyDescent="0.2">
      <c r="A13" s="6" t="s">
        <v>237</v>
      </c>
      <c r="B13" s="6" t="s">
        <v>238</v>
      </c>
      <c r="C13" s="6" t="s">
        <v>49</v>
      </c>
      <c r="D13" s="7"/>
      <c r="E13" s="7"/>
      <c r="F13" s="7"/>
      <c r="G13" s="6"/>
      <c r="H13" s="6"/>
      <c r="I13" s="16"/>
      <c r="J13" s="16">
        <v>-1.384113661892663</v>
      </c>
      <c r="K13" s="6" t="s">
        <v>143</v>
      </c>
      <c r="L13" s="6" t="s">
        <v>50</v>
      </c>
      <c r="M13" s="7"/>
      <c r="N13" s="6" t="s">
        <v>132</v>
      </c>
      <c r="O13" s="6"/>
    </row>
    <row r="14" spans="1:15" x14ac:dyDescent="0.2">
      <c r="A14" s="6" t="s">
        <v>239</v>
      </c>
      <c r="B14" s="6" t="s">
        <v>240</v>
      </c>
      <c r="C14" s="6" t="s">
        <v>49</v>
      </c>
      <c r="D14" s="7">
        <v>375</v>
      </c>
      <c r="E14" s="7">
        <v>98</v>
      </c>
      <c r="F14" s="7">
        <v>22.63279445727483</v>
      </c>
      <c r="G14" s="6" t="s">
        <v>220</v>
      </c>
      <c r="H14" s="6">
        <v>1</v>
      </c>
      <c r="I14" s="16">
        <v>-1.4913245964367019</v>
      </c>
      <c r="J14" s="16">
        <v>-1.4913245964367019</v>
      </c>
      <c r="K14" s="6" t="s">
        <v>58</v>
      </c>
      <c r="L14" s="6" t="s">
        <v>63</v>
      </c>
      <c r="M14" s="7">
        <v>112.5</v>
      </c>
      <c r="N14" s="6" t="s">
        <v>132</v>
      </c>
      <c r="O14" s="6"/>
    </row>
    <row r="15" spans="1:15" x14ac:dyDescent="0.2">
      <c r="A15" s="6" t="s">
        <v>241</v>
      </c>
      <c r="B15" s="6" t="s">
        <v>242</v>
      </c>
      <c r="C15" s="6" t="s">
        <v>49</v>
      </c>
      <c r="D15" s="7">
        <v>500</v>
      </c>
      <c r="E15" s="7">
        <v>15</v>
      </c>
      <c r="F15" s="7">
        <v>3.464203233256351</v>
      </c>
      <c r="G15" s="6" t="s">
        <v>220</v>
      </c>
      <c r="H15" s="6">
        <v>1</v>
      </c>
      <c r="I15" s="16">
        <v>-2.256415079415746</v>
      </c>
      <c r="J15" s="16">
        <v>-2.256415079415746</v>
      </c>
      <c r="K15" s="6" t="s">
        <v>58</v>
      </c>
      <c r="L15" s="6" t="s">
        <v>63</v>
      </c>
      <c r="M15" s="7">
        <v>150</v>
      </c>
      <c r="N15" s="6" t="s">
        <v>132</v>
      </c>
      <c r="O15" s="6"/>
    </row>
    <row r="16" spans="1:15" x14ac:dyDescent="0.2">
      <c r="A16" s="6" t="s">
        <v>243</v>
      </c>
      <c r="B16" s="6" t="s">
        <v>244</v>
      </c>
      <c r="C16" s="6" t="s">
        <v>49</v>
      </c>
      <c r="D16" s="7">
        <v>399</v>
      </c>
      <c r="E16" s="7">
        <v>99</v>
      </c>
      <c r="F16" s="7">
        <v>22.86374133949192</v>
      </c>
      <c r="G16" s="6" t="s">
        <v>220</v>
      </c>
      <c r="H16" s="6"/>
      <c r="I16" s="16"/>
      <c r="J16" s="16">
        <v>-0.79078567053692428</v>
      </c>
      <c r="K16" s="6" t="s">
        <v>51</v>
      </c>
      <c r="L16" s="6" t="s">
        <v>50</v>
      </c>
      <c r="M16" s="7">
        <v>119.7</v>
      </c>
      <c r="N16" s="6" t="s">
        <v>132</v>
      </c>
      <c r="O16" s="6"/>
    </row>
    <row r="17" spans="1:15" x14ac:dyDescent="0.2">
      <c r="A17" s="6" t="s">
        <v>245</v>
      </c>
      <c r="B17" s="6" t="s">
        <v>246</v>
      </c>
      <c r="C17" s="6" t="s">
        <v>49</v>
      </c>
      <c r="D17" s="7">
        <v>249</v>
      </c>
      <c r="E17" s="7">
        <v>81</v>
      </c>
      <c r="F17" s="7">
        <v>18.706697459584291</v>
      </c>
      <c r="G17" s="6" t="s">
        <v>247</v>
      </c>
      <c r="H17" s="6"/>
      <c r="I17" s="16"/>
      <c r="J17" s="16">
        <v>-1.384113661892663</v>
      </c>
      <c r="K17" s="6" t="s">
        <v>143</v>
      </c>
      <c r="L17" s="6" t="s">
        <v>50</v>
      </c>
      <c r="M17" s="7">
        <v>74.7</v>
      </c>
      <c r="N17" s="6" t="s">
        <v>132</v>
      </c>
      <c r="O17" s="6"/>
    </row>
    <row r="18" spans="1:15" x14ac:dyDescent="0.2">
      <c r="A18" s="6" t="s">
        <v>248</v>
      </c>
      <c r="B18" s="6" t="s">
        <v>249</v>
      </c>
      <c r="C18" s="6" t="s">
        <v>49</v>
      </c>
      <c r="D18" s="7">
        <v>349</v>
      </c>
      <c r="E18" s="7">
        <v>139</v>
      </c>
      <c r="F18" s="7">
        <v>32.10161662817552</v>
      </c>
      <c r="G18" s="6" t="s">
        <v>220</v>
      </c>
      <c r="H18" s="6"/>
      <c r="I18" s="16"/>
      <c r="J18" s="16">
        <v>-0.79078567053692428</v>
      </c>
      <c r="K18" s="6" t="s">
        <v>51</v>
      </c>
      <c r="L18" s="6" t="s">
        <v>50</v>
      </c>
      <c r="M18" s="7">
        <v>104.7</v>
      </c>
      <c r="N18" s="6" t="s">
        <v>132</v>
      </c>
      <c r="O18" s="6"/>
    </row>
    <row r="19" spans="1:15" x14ac:dyDescent="0.2">
      <c r="A19" s="6" t="s">
        <v>250</v>
      </c>
      <c r="B19" s="6" t="s">
        <v>251</v>
      </c>
      <c r="C19" s="6" t="s">
        <v>49</v>
      </c>
      <c r="D19" s="7">
        <v>399</v>
      </c>
      <c r="E19" s="7">
        <v>26</v>
      </c>
      <c r="F19" s="7">
        <v>6.0046189376443424</v>
      </c>
      <c r="G19" s="6" t="s">
        <v>220</v>
      </c>
      <c r="H19" s="6"/>
      <c r="I19" s="16"/>
      <c r="J19" s="16">
        <v>-0.79078567053692428</v>
      </c>
      <c r="K19" s="6" t="s">
        <v>51</v>
      </c>
      <c r="L19" s="6" t="s">
        <v>50</v>
      </c>
      <c r="M19" s="7">
        <v>119.7</v>
      </c>
      <c r="N19" s="6" t="s">
        <v>132</v>
      </c>
      <c r="O19" s="6"/>
    </row>
    <row r="20" spans="1:15" x14ac:dyDescent="0.2">
      <c r="A20" s="6" t="s">
        <v>252</v>
      </c>
      <c r="B20" s="6" t="s">
        <v>253</v>
      </c>
      <c r="C20" s="6" t="s">
        <v>49</v>
      </c>
      <c r="D20" s="7"/>
      <c r="E20" s="7"/>
      <c r="F20" s="7"/>
      <c r="G20" s="6"/>
      <c r="H20" s="6"/>
      <c r="I20" s="16"/>
      <c r="J20" s="16">
        <v>-1.384113661892663</v>
      </c>
      <c r="K20" s="6" t="s">
        <v>143</v>
      </c>
      <c r="L20" s="6" t="s">
        <v>50</v>
      </c>
      <c r="M20" s="7"/>
      <c r="N20" s="6" t="s">
        <v>132</v>
      </c>
      <c r="O20" s="6"/>
    </row>
    <row r="21" spans="1:15" x14ac:dyDescent="0.2">
      <c r="A21" s="6" t="s">
        <v>254</v>
      </c>
      <c r="B21" s="6" t="s">
        <v>255</v>
      </c>
      <c r="C21" s="6" t="s">
        <v>56</v>
      </c>
      <c r="D21" s="7">
        <v>439</v>
      </c>
      <c r="E21" s="7">
        <v>33</v>
      </c>
      <c r="F21" s="7">
        <v>7.6212471131639719</v>
      </c>
      <c r="G21" s="6" t="s">
        <v>220</v>
      </c>
      <c r="H21" s="6">
        <v>1</v>
      </c>
      <c r="I21" s="16">
        <v>0.2270190415035109</v>
      </c>
      <c r="J21" s="16">
        <v>0.2270190415035109</v>
      </c>
      <c r="K21" s="6" t="s">
        <v>58</v>
      </c>
      <c r="L21" s="6" t="s">
        <v>63</v>
      </c>
      <c r="M21" s="7">
        <v>20.88</v>
      </c>
      <c r="N21" s="6" t="s">
        <v>52</v>
      </c>
      <c r="O21" s="6">
        <v>0.9646401354784081</v>
      </c>
    </row>
    <row r="22" spans="1:15" x14ac:dyDescent="0.2">
      <c r="A22" s="6" t="s">
        <v>256</v>
      </c>
      <c r="B22" s="6" t="s">
        <v>257</v>
      </c>
      <c r="C22" s="6" t="s">
        <v>56</v>
      </c>
      <c r="D22" s="7">
        <v>229</v>
      </c>
      <c r="E22" s="7">
        <v>38</v>
      </c>
      <c r="F22" s="7">
        <v>8.7759815242494223</v>
      </c>
      <c r="G22" s="6" t="s">
        <v>247</v>
      </c>
      <c r="H22" s="6">
        <v>2</v>
      </c>
      <c r="I22" s="16">
        <v>-1.723788616500481</v>
      </c>
      <c r="J22" s="16">
        <v>-1.723788616500481</v>
      </c>
      <c r="K22" s="6" t="s">
        <v>58</v>
      </c>
      <c r="L22" s="6" t="s">
        <v>57</v>
      </c>
      <c r="M22" s="7">
        <v>68.7</v>
      </c>
      <c r="N22" s="6" t="s">
        <v>132</v>
      </c>
      <c r="O22" s="6"/>
    </row>
    <row r="23" spans="1:15" x14ac:dyDescent="0.2">
      <c r="A23" s="6" t="s">
        <v>258</v>
      </c>
      <c r="B23" s="6" t="s">
        <v>259</v>
      </c>
      <c r="C23" s="6" t="s">
        <v>56</v>
      </c>
      <c r="D23" s="7">
        <v>1199</v>
      </c>
      <c r="E23" s="7">
        <v>27</v>
      </c>
      <c r="F23" s="7">
        <v>6.2355658198614314</v>
      </c>
      <c r="G23" s="6" t="s">
        <v>260</v>
      </c>
      <c r="H23" s="6">
        <v>1</v>
      </c>
      <c r="I23" s="16">
        <v>4.0482676721970838</v>
      </c>
      <c r="J23" s="16">
        <v>4.0482676721970838</v>
      </c>
      <c r="K23" s="6" t="s">
        <v>58</v>
      </c>
      <c r="L23" s="6" t="s">
        <v>63</v>
      </c>
      <c r="M23" s="7">
        <v>112.39</v>
      </c>
      <c r="N23" s="6" t="s">
        <v>52</v>
      </c>
      <c r="O23" s="6">
        <v>0.89476591760299629</v>
      </c>
    </row>
    <row r="24" spans="1:15" x14ac:dyDescent="0.2">
      <c r="A24" s="6" t="s">
        <v>102</v>
      </c>
      <c r="B24" s="6" t="s">
        <v>103</v>
      </c>
      <c r="C24" s="6" t="s">
        <v>56</v>
      </c>
      <c r="D24" s="7">
        <v>200.69774011299441</v>
      </c>
      <c r="E24" s="7">
        <v>354</v>
      </c>
      <c r="F24" s="7">
        <v>81.755196304849889</v>
      </c>
      <c r="G24" s="6" t="s">
        <v>247</v>
      </c>
      <c r="H24" s="6">
        <v>3</v>
      </c>
      <c r="I24" s="16">
        <v>-4.6663187043346932</v>
      </c>
      <c r="J24" s="16">
        <v>-4.6663187043346932</v>
      </c>
      <c r="K24" s="6" t="s">
        <v>58</v>
      </c>
      <c r="L24" s="6" t="s">
        <v>57</v>
      </c>
      <c r="M24" s="7">
        <v>5.1657142857142846</v>
      </c>
      <c r="N24" s="6" t="s">
        <v>52</v>
      </c>
      <c r="O24" s="6">
        <v>0.97721487082545677</v>
      </c>
    </row>
    <row r="25" spans="1:15" x14ac:dyDescent="0.2">
      <c r="A25" s="6" t="s">
        <v>141</v>
      </c>
      <c r="B25" s="6" t="s">
        <v>142</v>
      </c>
      <c r="C25" s="6" t="s">
        <v>49</v>
      </c>
      <c r="D25" s="7">
        <v>0</v>
      </c>
      <c r="E25" s="7">
        <v>344</v>
      </c>
      <c r="F25" s="7">
        <v>79.445727482678976</v>
      </c>
      <c r="G25" s="6" t="s">
        <v>247</v>
      </c>
      <c r="H25" s="6"/>
      <c r="I25" s="16"/>
      <c r="J25" s="16">
        <v>-1.384113661892663</v>
      </c>
      <c r="K25" s="6" t="s">
        <v>143</v>
      </c>
      <c r="L25" s="6" t="s">
        <v>50</v>
      </c>
      <c r="M25" s="7">
        <v>0</v>
      </c>
      <c r="N25" s="6" t="s">
        <v>132</v>
      </c>
      <c r="O25" s="6"/>
    </row>
    <row r="26" spans="1:15" x14ac:dyDescent="0.2">
      <c r="A26" s="6" t="s">
        <v>144</v>
      </c>
      <c r="B26" s="6" t="s">
        <v>145</v>
      </c>
      <c r="C26" s="6" t="s">
        <v>56</v>
      </c>
      <c r="D26" s="7">
        <v>406.82396088019561</v>
      </c>
      <c r="E26" s="7">
        <v>1636</v>
      </c>
      <c r="F26" s="7">
        <v>377.82909930715942</v>
      </c>
      <c r="G26" s="6" t="s">
        <v>220</v>
      </c>
      <c r="H26" s="6"/>
      <c r="I26" s="16"/>
      <c r="J26" s="16">
        <v>-1.273147819780216</v>
      </c>
      <c r="K26" s="6" t="s">
        <v>51</v>
      </c>
      <c r="L26" s="6" t="s">
        <v>50</v>
      </c>
      <c r="M26" s="7">
        <v>86.081249999999997</v>
      </c>
      <c r="N26" s="6" t="s">
        <v>52</v>
      </c>
      <c r="O26" s="6">
        <v>0.8309784831874335</v>
      </c>
    </row>
    <row r="27" spans="1:15" x14ac:dyDescent="0.2">
      <c r="A27" s="6" t="s">
        <v>261</v>
      </c>
      <c r="B27" s="6" t="s">
        <v>262</v>
      </c>
      <c r="C27" s="6" t="s">
        <v>56</v>
      </c>
      <c r="D27" s="7">
        <v>299</v>
      </c>
      <c r="E27" s="7">
        <v>88</v>
      </c>
      <c r="F27" s="7">
        <v>20.323325635103931</v>
      </c>
      <c r="G27" s="6" t="s">
        <v>247</v>
      </c>
      <c r="H27" s="6">
        <v>1</v>
      </c>
      <c r="I27" s="16">
        <v>0.437359850099859</v>
      </c>
      <c r="J27" s="16">
        <v>0.437359850099859</v>
      </c>
      <c r="K27" s="6" t="s">
        <v>58</v>
      </c>
      <c r="L27" s="6" t="s">
        <v>63</v>
      </c>
      <c r="M27" s="7">
        <v>20.94</v>
      </c>
      <c r="N27" s="6" t="s">
        <v>52</v>
      </c>
      <c r="O27" s="6">
        <v>0.9175590551181102</v>
      </c>
    </row>
    <row r="28" spans="1:15" x14ac:dyDescent="0.2">
      <c r="A28" s="6" t="s">
        <v>128</v>
      </c>
      <c r="B28" s="6" t="s">
        <v>129</v>
      </c>
      <c r="C28" s="6" t="s">
        <v>56</v>
      </c>
      <c r="D28" s="7">
        <v>162.18518518518519</v>
      </c>
      <c r="E28" s="7">
        <v>999</v>
      </c>
      <c r="F28" s="7">
        <v>230.715935334873</v>
      </c>
      <c r="G28" s="6" t="s">
        <v>247</v>
      </c>
      <c r="H28" s="6">
        <v>3</v>
      </c>
      <c r="I28" s="16">
        <v>-0.68249003901496008</v>
      </c>
      <c r="J28" s="16">
        <v>-0.68249003901496008</v>
      </c>
      <c r="K28" s="6" t="s">
        <v>58</v>
      </c>
      <c r="L28" s="6" t="s">
        <v>57</v>
      </c>
      <c r="M28" s="7">
        <v>14.0375</v>
      </c>
      <c r="N28" s="6" t="s">
        <v>52</v>
      </c>
      <c r="O28" s="6">
        <v>0.88124695567462252</v>
      </c>
    </row>
    <row r="29" spans="1:15" x14ac:dyDescent="0.2">
      <c r="A29" s="6" t="s">
        <v>135</v>
      </c>
      <c r="B29" s="6" t="s">
        <v>136</v>
      </c>
      <c r="C29" s="6" t="s">
        <v>56</v>
      </c>
      <c r="D29" s="7">
        <v>349</v>
      </c>
      <c r="E29" s="7">
        <v>244</v>
      </c>
      <c r="F29" s="7">
        <v>56.351039260969984</v>
      </c>
      <c r="G29" s="6" t="s">
        <v>220</v>
      </c>
      <c r="H29" s="6"/>
      <c r="I29" s="16"/>
      <c r="J29" s="16">
        <v>-1.273147819780216</v>
      </c>
      <c r="K29" s="6" t="s">
        <v>51</v>
      </c>
      <c r="L29" s="6" t="s">
        <v>50</v>
      </c>
      <c r="M29" s="7">
        <v>15.452500000000001</v>
      </c>
      <c r="N29" s="6" t="s">
        <v>52</v>
      </c>
      <c r="O29" s="6">
        <v>0.91613707165109037</v>
      </c>
    </row>
    <row r="30" spans="1:15" x14ac:dyDescent="0.2">
      <c r="A30" s="6" t="s">
        <v>263</v>
      </c>
      <c r="B30" s="6" t="s">
        <v>264</v>
      </c>
      <c r="C30" s="6" t="s">
        <v>56</v>
      </c>
      <c r="D30" s="7"/>
      <c r="E30" s="7"/>
      <c r="F30" s="7"/>
      <c r="G30" s="6"/>
      <c r="H30" s="6"/>
      <c r="I30" s="16"/>
      <c r="J30" s="16">
        <v>-1.08034578285814</v>
      </c>
      <c r="K30" s="6" t="s">
        <v>143</v>
      </c>
      <c r="L30" s="6" t="s">
        <v>50</v>
      </c>
      <c r="M30" s="7">
        <v>5</v>
      </c>
      <c r="N30" s="6" t="s">
        <v>52</v>
      </c>
      <c r="O30" s="6">
        <v>0.67547169811320751</v>
      </c>
    </row>
    <row r="31" spans="1:15" x14ac:dyDescent="0.2">
      <c r="A31" s="6" t="s">
        <v>265</v>
      </c>
      <c r="B31" s="6" t="s">
        <v>266</v>
      </c>
      <c r="C31" s="6" t="s">
        <v>56</v>
      </c>
      <c r="D31" s="7">
        <v>618.35</v>
      </c>
      <c r="E31" s="7">
        <v>200</v>
      </c>
      <c r="F31" s="7">
        <v>46.189376443418013</v>
      </c>
      <c r="G31" s="6" t="s">
        <v>267</v>
      </c>
      <c r="H31" s="6"/>
      <c r="I31" s="16"/>
      <c r="J31" s="16">
        <v>-2.3697537837821541</v>
      </c>
      <c r="K31" s="6" t="s">
        <v>51</v>
      </c>
      <c r="L31" s="6" t="s">
        <v>50</v>
      </c>
      <c r="M31" s="7">
        <v>58.070000000000007</v>
      </c>
      <c r="N31" s="6" t="s">
        <v>52</v>
      </c>
      <c r="O31" s="6">
        <v>0.90846469104665817</v>
      </c>
    </row>
    <row r="32" spans="1:15" x14ac:dyDescent="0.2">
      <c r="A32" s="6" t="s">
        <v>98</v>
      </c>
      <c r="B32" s="6" t="s">
        <v>99</v>
      </c>
      <c r="C32" s="6" t="s">
        <v>56</v>
      </c>
      <c r="D32" s="7">
        <v>77.286473607038118</v>
      </c>
      <c r="E32" s="7">
        <v>5456</v>
      </c>
      <c r="F32" s="7">
        <v>1260.046189376443</v>
      </c>
      <c r="G32" s="6" t="s">
        <v>247</v>
      </c>
      <c r="H32" s="6">
        <v>4</v>
      </c>
      <c r="I32" s="16">
        <v>-0.26127499161594198</v>
      </c>
      <c r="J32" s="16">
        <v>-0.26127499161594198</v>
      </c>
      <c r="K32" s="6" t="s">
        <v>58</v>
      </c>
      <c r="L32" s="6" t="s">
        <v>57</v>
      </c>
      <c r="M32" s="7">
        <v>9.7804301075268807</v>
      </c>
      <c r="N32" s="6" t="s">
        <v>52</v>
      </c>
      <c r="O32" s="6">
        <v>0.83895805680913194</v>
      </c>
    </row>
    <row r="33" spans="1:15" x14ac:dyDescent="0.2">
      <c r="A33" s="6" t="s">
        <v>146</v>
      </c>
      <c r="B33" s="6" t="s">
        <v>147</v>
      </c>
      <c r="C33" s="6" t="s">
        <v>56</v>
      </c>
      <c r="D33" s="7">
        <v>534.1846733668342</v>
      </c>
      <c r="E33" s="7">
        <v>796</v>
      </c>
      <c r="F33" s="7">
        <v>183.83371824480369</v>
      </c>
      <c r="G33" s="6" t="s">
        <v>220</v>
      </c>
      <c r="H33" s="6"/>
      <c r="I33" s="16"/>
      <c r="J33" s="16">
        <v>-1.273147819780216</v>
      </c>
      <c r="K33" s="6" t="s">
        <v>51</v>
      </c>
      <c r="L33" s="6" t="s">
        <v>50</v>
      </c>
      <c r="M33" s="7">
        <v>137.56800000000001</v>
      </c>
      <c r="N33" s="6" t="s">
        <v>52</v>
      </c>
      <c r="O33" s="6">
        <v>0.74265244444444445</v>
      </c>
    </row>
    <row r="34" spans="1:15" x14ac:dyDescent="0.2">
      <c r="A34" s="6" t="s">
        <v>268</v>
      </c>
      <c r="B34" s="6" t="s">
        <v>269</v>
      </c>
      <c r="C34" s="6" t="s">
        <v>56</v>
      </c>
      <c r="D34" s="7">
        <v>1099</v>
      </c>
      <c r="E34" s="7">
        <v>94</v>
      </c>
      <c r="F34" s="7">
        <v>21.70900692840647</v>
      </c>
      <c r="G34" s="6" t="s">
        <v>260</v>
      </c>
      <c r="H34" s="6"/>
      <c r="I34" s="16"/>
      <c r="J34" s="16">
        <v>3.1718382023897091</v>
      </c>
      <c r="K34" s="6" t="s">
        <v>51</v>
      </c>
      <c r="L34" s="6" t="s">
        <v>50</v>
      </c>
      <c r="M34" s="7">
        <v>117.71</v>
      </c>
      <c r="N34" s="6" t="s">
        <v>52</v>
      </c>
      <c r="O34" s="6">
        <v>0.89571650055370977</v>
      </c>
    </row>
    <row r="35" spans="1:15" x14ac:dyDescent="0.2">
      <c r="A35" s="6" t="s">
        <v>270</v>
      </c>
      <c r="B35" s="6" t="s">
        <v>271</v>
      </c>
      <c r="C35" s="6" t="s">
        <v>56</v>
      </c>
      <c r="D35" s="7">
        <v>489</v>
      </c>
      <c r="E35" s="7">
        <v>11</v>
      </c>
      <c r="F35" s="7">
        <v>2.5404157043879909</v>
      </c>
      <c r="G35" s="6" t="s">
        <v>220</v>
      </c>
      <c r="H35" s="6">
        <v>1</v>
      </c>
      <c r="I35" s="16">
        <v>2.176019413905947</v>
      </c>
      <c r="J35" s="16">
        <v>2.176019413905947</v>
      </c>
      <c r="K35" s="6" t="s">
        <v>58</v>
      </c>
      <c r="L35" s="6" t="s">
        <v>63</v>
      </c>
      <c r="M35" s="7">
        <v>37.83</v>
      </c>
      <c r="N35" s="6" t="s">
        <v>52</v>
      </c>
      <c r="O35" s="6">
        <v>0.91846982758620688</v>
      </c>
    </row>
    <row r="36" spans="1:15" x14ac:dyDescent="0.2">
      <c r="A36" s="6" t="s">
        <v>272</v>
      </c>
      <c r="B36" s="6" t="s">
        <v>273</v>
      </c>
      <c r="C36" s="6" t="s">
        <v>49</v>
      </c>
      <c r="D36" s="7">
        <v>599</v>
      </c>
      <c r="E36" s="7">
        <v>38</v>
      </c>
      <c r="F36" s="7">
        <v>8.7759815242494223</v>
      </c>
      <c r="G36" s="6" t="s">
        <v>220</v>
      </c>
      <c r="H36" s="6">
        <v>1</v>
      </c>
      <c r="I36" s="16">
        <v>-0.46180456883058241</v>
      </c>
      <c r="J36" s="16">
        <v>-0.46180456883058241</v>
      </c>
      <c r="K36" s="6" t="s">
        <v>58</v>
      </c>
      <c r="L36" s="6" t="s">
        <v>63</v>
      </c>
      <c r="M36" s="7">
        <v>132.96125000000001</v>
      </c>
      <c r="N36" s="6" t="s">
        <v>52</v>
      </c>
      <c r="O36" s="6">
        <v>0.78940363349131126</v>
      </c>
    </row>
    <row r="37" spans="1:15" x14ac:dyDescent="0.2">
      <c r="A37" s="6" t="s">
        <v>274</v>
      </c>
      <c r="B37" s="6" t="s">
        <v>275</v>
      </c>
      <c r="C37" s="6" t="s">
        <v>56</v>
      </c>
      <c r="D37" s="7">
        <v>372.55371900826452</v>
      </c>
      <c r="E37" s="7">
        <v>121</v>
      </c>
      <c r="F37" s="7">
        <v>27.944572748267898</v>
      </c>
      <c r="G37" s="6" t="s">
        <v>220</v>
      </c>
      <c r="H37" s="6">
        <v>2</v>
      </c>
      <c r="I37" s="16">
        <v>0.20687141618812491</v>
      </c>
      <c r="J37" s="16">
        <v>0.20687141618812491</v>
      </c>
      <c r="K37" s="6" t="s">
        <v>58</v>
      </c>
      <c r="L37" s="6" t="s">
        <v>63</v>
      </c>
      <c r="M37" s="7">
        <v>23.04</v>
      </c>
      <c r="N37" s="6" t="s">
        <v>52</v>
      </c>
      <c r="O37" s="6">
        <v>0.93904761904761902</v>
      </c>
    </row>
    <row r="38" spans="1:15" x14ac:dyDescent="0.2">
      <c r="A38" s="6" t="s">
        <v>276</v>
      </c>
      <c r="B38" s="6" t="s">
        <v>277</v>
      </c>
      <c r="C38" s="6" t="s">
        <v>49</v>
      </c>
      <c r="D38" s="7">
        <v>599</v>
      </c>
      <c r="E38" s="7">
        <v>154</v>
      </c>
      <c r="F38" s="7">
        <v>35.565819861431869</v>
      </c>
      <c r="G38" s="6" t="s">
        <v>220</v>
      </c>
      <c r="H38" s="6"/>
      <c r="I38" s="16"/>
      <c r="J38" s="16">
        <v>-0.79078567053692428</v>
      </c>
      <c r="K38" s="6" t="s">
        <v>51</v>
      </c>
      <c r="L38" s="6" t="s">
        <v>50</v>
      </c>
      <c r="M38" s="7">
        <v>5.62</v>
      </c>
      <c r="N38" s="6" t="s">
        <v>52</v>
      </c>
      <c r="O38" s="6">
        <v>0.92573268921095009</v>
      </c>
    </row>
    <row r="39" spans="1:15" x14ac:dyDescent="0.2">
      <c r="A39" s="6" t="s">
        <v>278</v>
      </c>
      <c r="B39" s="6" t="s">
        <v>279</v>
      </c>
      <c r="C39" s="6" t="s">
        <v>56</v>
      </c>
      <c r="D39" s="7">
        <v>89</v>
      </c>
      <c r="E39" s="7">
        <v>147</v>
      </c>
      <c r="F39" s="7">
        <v>33.94919168591224</v>
      </c>
      <c r="G39" s="6" t="s">
        <v>247</v>
      </c>
      <c r="H39" s="6">
        <v>2</v>
      </c>
      <c r="I39" s="16">
        <v>-0.38682516668866768</v>
      </c>
      <c r="J39" s="16">
        <v>-0.38682516668866768</v>
      </c>
      <c r="K39" s="6" t="s">
        <v>58</v>
      </c>
      <c r="L39" s="6" t="s">
        <v>63</v>
      </c>
      <c r="M39" s="7">
        <v>2.81</v>
      </c>
      <c r="N39" s="6" t="s">
        <v>52</v>
      </c>
      <c r="O39" s="6">
        <v>0.97995720399429398</v>
      </c>
    </row>
    <row r="40" spans="1:15" x14ac:dyDescent="0.2">
      <c r="A40" s="6" t="s">
        <v>124</v>
      </c>
      <c r="B40" s="6" t="s">
        <v>125</v>
      </c>
      <c r="C40" s="6" t="s">
        <v>56</v>
      </c>
      <c r="D40" s="7">
        <v>78.947039138658525</v>
      </c>
      <c r="E40" s="7">
        <v>6873</v>
      </c>
      <c r="F40" s="7">
        <v>1587.2979214780601</v>
      </c>
      <c r="G40" s="6" t="s">
        <v>247</v>
      </c>
      <c r="H40" s="6">
        <v>3</v>
      </c>
      <c r="I40" s="16">
        <v>-0.62294760225537271</v>
      </c>
      <c r="J40" s="16">
        <v>-0.62294760225537271</v>
      </c>
      <c r="K40" s="6" t="s">
        <v>58</v>
      </c>
      <c r="L40" s="6" t="s">
        <v>57</v>
      </c>
      <c r="M40" s="7">
        <v>2.4654255319148941</v>
      </c>
      <c r="N40" s="6" t="s">
        <v>52</v>
      </c>
      <c r="O40" s="6">
        <v>0.89599876477854246</v>
      </c>
    </row>
    <row r="41" spans="1:15" x14ac:dyDescent="0.2">
      <c r="A41" s="6" t="s">
        <v>120</v>
      </c>
      <c r="B41" s="6" t="s">
        <v>121</v>
      </c>
      <c r="C41" s="6" t="s">
        <v>56</v>
      </c>
      <c r="D41" s="7">
        <v>73.87394957983193</v>
      </c>
      <c r="E41" s="7">
        <v>714</v>
      </c>
      <c r="F41" s="7">
        <v>164.8960739030023</v>
      </c>
      <c r="G41" s="6" t="s">
        <v>247</v>
      </c>
      <c r="H41" s="6">
        <v>1</v>
      </c>
      <c r="I41" s="16">
        <v>-0.2689795110634865</v>
      </c>
      <c r="J41" s="16">
        <v>-0.2689795110634865</v>
      </c>
      <c r="K41" s="6" t="s">
        <v>58</v>
      </c>
      <c r="L41" s="6" t="s">
        <v>63</v>
      </c>
      <c r="M41" s="7">
        <v>12.05481481481481</v>
      </c>
      <c r="N41" s="6" t="s">
        <v>52</v>
      </c>
      <c r="O41" s="6">
        <v>0.90679266895761745</v>
      </c>
    </row>
    <row r="42" spans="1:15" x14ac:dyDescent="0.2">
      <c r="A42" s="6" t="s">
        <v>88</v>
      </c>
      <c r="B42" s="6" t="s">
        <v>89</v>
      </c>
      <c r="C42" s="6" t="s">
        <v>56</v>
      </c>
      <c r="D42" s="7">
        <v>357.04063957361763</v>
      </c>
      <c r="E42" s="7">
        <v>4503</v>
      </c>
      <c r="F42" s="7">
        <v>1039.953810623557</v>
      </c>
      <c r="G42" s="6" t="s">
        <v>220</v>
      </c>
      <c r="H42" s="6">
        <v>4</v>
      </c>
      <c r="I42" s="16">
        <v>-0.47331160471352868</v>
      </c>
      <c r="J42" s="16">
        <v>-0.47331160471352868</v>
      </c>
      <c r="K42" s="6" t="s">
        <v>58</v>
      </c>
      <c r="L42" s="6" t="s">
        <v>57</v>
      </c>
      <c r="M42" s="7">
        <v>96.921554404145084</v>
      </c>
      <c r="N42" s="6" t="s">
        <v>52</v>
      </c>
      <c r="O42" s="6">
        <v>0.6854914579468151</v>
      </c>
    </row>
    <row r="43" spans="1:15" x14ac:dyDescent="0.2">
      <c r="A43" s="6" t="s">
        <v>280</v>
      </c>
      <c r="B43" s="6" t="s">
        <v>281</v>
      </c>
      <c r="C43" s="6" t="s">
        <v>49</v>
      </c>
      <c r="D43" s="7">
        <v>899</v>
      </c>
      <c r="E43" s="7">
        <v>186</v>
      </c>
      <c r="F43" s="7">
        <v>42.956120092378747</v>
      </c>
      <c r="G43" s="6" t="s">
        <v>267</v>
      </c>
      <c r="H43" s="6"/>
      <c r="I43" s="16"/>
      <c r="J43" s="16">
        <v>-2.6197664336783242</v>
      </c>
      <c r="K43" s="6" t="s">
        <v>51</v>
      </c>
      <c r="L43" s="6" t="s">
        <v>50</v>
      </c>
      <c r="M43" s="7">
        <v>157.54</v>
      </c>
      <c r="N43" s="6" t="s">
        <v>52</v>
      </c>
      <c r="O43" s="6">
        <v>0.78035440687146951</v>
      </c>
    </row>
    <row r="44" spans="1:15" x14ac:dyDescent="0.2">
      <c r="A44" s="6" t="s">
        <v>148</v>
      </c>
      <c r="B44" s="6" t="s">
        <v>149</v>
      </c>
      <c r="C44" s="6" t="s">
        <v>56</v>
      </c>
      <c r="D44" s="7">
        <v>698.78528225806451</v>
      </c>
      <c r="E44" s="7">
        <v>992</v>
      </c>
      <c r="F44" s="7">
        <v>229.09930715935329</v>
      </c>
      <c r="G44" s="6" t="s">
        <v>267</v>
      </c>
      <c r="H44" s="6">
        <v>3</v>
      </c>
      <c r="I44" s="16">
        <v>-1.1309036745989971</v>
      </c>
      <c r="J44" s="16">
        <v>-1.1309036745989971</v>
      </c>
      <c r="K44" s="6" t="s">
        <v>58</v>
      </c>
      <c r="L44" s="6" t="s">
        <v>57</v>
      </c>
      <c r="M44" s="7">
        <v>82.29</v>
      </c>
      <c r="N44" s="6" t="s">
        <v>52</v>
      </c>
      <c r="O44" s="6">
        <v>0.54040822497732088</v>
      </c>
    </row>
    <row r="45" spans="1:15" x14ac:dyDescent="0.2">
      <c r="A45" s="6" t="s">
        <v>282</v>
      </c>
      <c r="B45" s="6" t="s">
        <v>283</v>
      </c>
      <c r="C45" s="6" t="s">
        <v>56</v>
      </c>
      <c r="D45" s="7">
        <v>823</v>
      </c>
      <c r="E45" s="7">
        <v>50</v>
      </c>
      <c r="F45" s="7">
        <v>11.5473441108545</v>
      </c>
      <c r="G45" s="6" t="s">
        <v>267</v>
      </c>
      <c r="H45" s="6">
        <v>2</v>
      </c>
      <c r="I45" s="16">
        <v>-0.83100074900276544</v>
      </c>
      <c r="J45" s="16">
        <v>-0.83100074900276544</v>
      </c>
      <c r="K45" s="6" t="s">
        <v>58</v>
      </c>
      <c r="L45" s="6" t="s">
        <v>63</v>
      </c>
      <c r="M45" s="7">
        <v>82.29</v>
      </c>
      <c r="N45" s="6" t="s">
        <v>52</v>
      </c>
      <c r="O45" s="6">
        <v>0.7440435458786937</v>
      </c>
    </row>
    <row r="46" spans="1:15" x14ac:dyDescent="0.2">
      <c r="A46" s="6" t="s">
        <v>126</v>
      </c>
      <c r="B46" s="6" t="s">
        <v>127</v>
      </c>
      <c r="C46" s="6" t="s">
        <v>56</v>
      </c>
      <c r="D46" s="7">
        <v>384.50074738415537</v>
      </c>
      <c r="E46" s="7">
        <v>669</v>
      </c>
      <c r="F46" s="7">
        <v>154.50346420323319</v>
      </c>
      <c r="G46" s="6" t="s">
        <v>220</v>
      </c>
      <c r="H46" s="6"/>
      <c r="I46" s="16"/>
      <c r="J46" s="16">
        <v>-1.273147819780216</v>
      </c>
      <c r="K46" s="6" t="s">
        <v>51</v>
      </c>
      <c r="L46" s="6" t="s">
        <v>50</v>
      </c>
      <c r="M46" s="7">
        <v>11.32</v>
      </c>
      <c r="N46" s="6" t="s">
        <v>52</v>
      </c>
      <c r="O46" s="6">
        <v>0.97424345847554039</v>
      </c>
    </row>
    <row r="47" spans="1:15" x14ac:dyDescent="0.2">
      <c r="A47" s="6" t="s">
        <v>150</v>
      </c>
      <c r="B47" s="6" t="s">
        <v>151</v>
      </c>
      <c r="C47" s="6" t="s">
        <v>49</v>
      </c>
      <c r="D47" s="7">
        <v>0</v>
      </c>
      <c r="E47" s="7">
        <v>1215</v>
      </c>
      <c r="F47" s="7">
        <v>280.60046189376442</v>
      </c>
      <c r="G47" s="6" t="s">
        <v>247</v>
      </c>
      <c r="H47" s="6"/>
      <c r="I47" s="16"/>
      <c r="J47" s="16">
        <v>-1.384113661892663</v>
      </c>
      <c r="K47" s="6" t="s">
        <v>143</v>
      </c>
      <c r="L47" s="6" t="s">
        <v>50</v>
      </c>
      <c r="M47" s="7">
        <v>0</v>
      </c>
      <c r="N47" s="6" t="s">
        <v>132</v>
      </c>
      <c r="O47" s="6"/>
    </row>
    <row r="48" spans="1:15" x14ac:dyDescent="0.2">
      <c r="A48" s="6" t="s">
        <v>152</v>
      </c>
      <c r="B48" s="6" t="s">
        <v>153</v>
      </c>
      <c r="C48" s="6" t="s">
        <v>56</v>
      </c>
      <c r="D48" s="7">
        <v>452.36148648648651</v>
      </c>
      <c r="E48" s="7">
        <v>296</v>
      </c>
      <c r="F48" s="7">
        <v>68.360277136258659</v>
      </c>
      <c r="G48" s="6" t="s">
        <v>220</v>
      </c>
      <c r="H48" s="6"/>
      <c r="I48" s="16"/>
      <c r="J48" s="16">
        <v>-1.273147819780216</v>
      </c>
      <c r="K48" s="6" t="s">
        <v>51</v>
      </c>
      <c r="L48" s="6" t="s">
        <v>50</v>
      </c>
      <c r="M48" s="7">
        <v>98.381538461538469</v>
      </c>
      <c r="N48" s="6" t="s">
        <v>52</v>
      </c>
      <c r="O48" s="6">
        <v>0.84142780653221483</v>
      </c>
    </row>
    <row r="49" spans="1:15" x14ac:dyDescent="0.2">
      <c r="A49" s="6" t="s">
        <v>284</v>
      </c>
      <c r="B49" s="6" t="s">
        <v>285</v>
      </c>
      <c r="C49" s="6" t="s">
        <v>56</v>
      </c>
      <c r="D49" s="7">
        <v>363.44444444444451</v>
      </c>
      <c r="E49" s="7">
        <v>90</v>
      </c>
      <c r="F49" s="7">
        <v>20.785219399538111</v>
      </c>
      <c r="G49" s="6" t="s">
        <v>220</v>
      </c>
      <c r="H49" s="6">
        <v>1</v>
      </c>
      <c r="I49" s="16">
        <v>-2.1983237780611522</v>
      </c>
      <c r="J49" s="16">
        <v>-2.1983237780611522</v>
      </c>
      <c r="K49" s="6" t="s">
        <v>58</v>
      </c>
      <c r="L49" s="6" t="s">
        <v>63</v>
      </c>
      <c r="M49" s="7">
        <v>109.0333333333333</v>
      </c>
      <c r="N49" s="6" t="s">
        <v>132</v>
      </c>
      <c r="O49" s="6"/>
    </row>
    <row r="50" spans="1:15" x14ac:dyDescent="0.2">
      <c r="A50" s="6" t="s">
        <v>286</v>
      </c>
      <c r="B50" s="6" t="s">
        <v>287</v>
      </c>
      <c r="C50" s="6" t="s">
        <v>49</v>
      </c>
      <c r="D50" s="7">
        <v>999</v>
      </c>
      <c r="E50" s="7">
        <v>48</v>
      </c>
      <c r="F50" s="7">
        <v>11.08545034642032</v>
      </c>
      <c r="G50" s="6" t="s">
        <v>267</v>
      </c>
      <c r="H50" s="6"/>
      <c r="I50" s="16"/>
      <c r="J50" s="16">
        <v>-2.6197664336783242</v>
      </c>
      <c r="K50" s="6" t="s">
        <v>51</v>
      </c>
      <c r="L50" s="6" t="s">
        <v>50</v>
      </c>
      <c r="M50" s="7">
        <v>74.91</v>
      </c>
      <c r="N50" s="6" t="s">
        <v>52</v>
      </c>
      <c r="O50" s="6">
        <v>0.92200937011972939</v>
      </c>
    </row>
    <row r="51" spans="1:15" x14ac:dyDescent="0.2">
      <c r="A51" s="6" t="s">
        <v>122</v>
      </c>
      <c r="B51" s="6" t="s">
        <v>123</v>
      </c>
      <c r="C51" s="6" t="s">
        <v>56</v>
      </c>
      <c r="D51" s="7">
        <v>386.84776403425309</v>
      </c>
      <c r="E51" s="7">
        <v>1051</v>
      </c>
      <c r="F51" s="7">
        <v>242.7251732101617</v>
      </c>
      <c r="G51" s="6" t="s">
        <v>220</v>
      </c>
      <c r="H51" s="6"/>
      <c r="I51" s="16"/>
      <c r="J51" s="16">
        <v>-1.273147819780216</v>
      </c>
      <c r="K51" s="6" t="s">
        <v>51</v>
      </c>
      <c r="L51" s="6" t="s">
        <v>50</v>
      </c>
      <c r="M51" s="7">
        <v>22.18</v>
      </c>
      <c r="N51" s="6" t="s">
        <v>52</v>
      </c>
      <c r="O51" s="6">
        <v>0.94471585244267209</v>
      </c>
    </row>
    <row r="52" spans="1:15" x14ac:dyDescent="0.2">
      <c r="A52" s="6" t="s">
        <v>154</v>
      </c>
      <c r="B52" s="6" t="s">
        <v>155</v>
      </c>
      <c r="C52" s="6" t="s">
        <v>56</v>
      </c>
      <c r="D52" s="7">
        <v>582.83817951959543</v>
      </c>
      <c r="E52" s="7">
        <v>791</v>
      </c>
      <c r="F52" s="7">
        <v>182.67898383371821</v>
      </c>
      <c r="G52" s="6" t="s">
        <v>220</v>
      </c>
      <c r="H52" s="6"/>
      <c r="I52" s="16"/>
      <c r="J52" s="16">
        <v>-1.273147819780216</v>
      </c>
      <c r="K52" s="6" t="s">
        <v>51</v>
      </c>
      <c r="L52" s="6" t="s">
        <v>50</v>
      </c>
      <c r="M52" s="7">
        <v>81</v>
      </c>
      <c r="N52" s="6" t="s">
        <v>52</v>
      </c>
      <c r="O52" s="6">
        <v>0.73674588665447893</v>
      </c>
    </row>
    <row r="53" spans="1:15" x14ac:dyDescent="0.2">
      <c r="A53" s="6" t="s">
        <v>288</v>
      </c>
      <c r="B53" s="6" t="s">
        <v>289</v>
      </c>
      <c r="C53" s="6" t="s">
        <v>56</v>
      </c>
      <c r="D53" s="7">
        <v>169</v>
      </c>
      <c r="E53" s="7">
        <v>68</v>
      </c>
      <c r="F53" s="7">
        <v>15.704387990762131</v>
      </c>
      <c r="G53" s="6" t="s">
        <v>247</v>
      </c>
      <c r="H53" s="6">
        <v>2</v>
      </c>
      <c r="I53" s="16">
        <v>-6.5091388193627218</v>
      </c>
      <c r="J53" s="16">
        <v>-6.5091388193627218</v>
      </c>
      <c r="K53" s="6" t="s">
        <v>58</v>
      </c>
      <c r="L53" s="6" t="s">
        <v>57</v>
      </c>
      <c r="M53" s="7">
        <v>12.63</v>
      </c>
      <c r="N53" s="6" t="s">
        <v>52</v>
      </c>
      <c r="O53" s="6">
        <v>0.66058106169296993</v>
      </c>
    </row>
    <row r="54" spans="1:15" x14ac:dyDescent="0.2">
      <c r="A54" s="6" t="s">
        <v>156</v>
      </c>
      <c r="B54" s="6" t="s">
        <v>157</v>
      </c>
      <c r="C54" s="6" t="s">
        <v>56</v>
      </c>
      <c r="D54" s="7">
        <v>513.99646643109543</v>
      </c>
      <c r="E54" s="7">
        <v>566</v>
      </c>
      <c r="F54" s="7">
        <v>130.715935334873</v>
      </c>
      <c r="G54" s="6" t="s">
        <v>220</v>
      </c>
      <c r="H54" s="6">
        <v>1</v>
      </c>
      <c r="I54" s="16">
        <v>-0.92296836695840145</v>
      </c>
      <c r="J54" s="16">
        <v>-0.92296836695840145</v>
      </c>
      <c r="K54" s="6" t="s">
        <v>58</v>
      </c>
      <c r="L54" s="6" t="s">
        <v>63</v>
      </c>
      <c r="M54" s="7">
        <v>37.31</v>
      </c>
      <c r="N54" s="6" t="s">
        <v>52</v>
      </c>
      <c r="O54" s="6">
        <v>0.84339705882352944</v>
      </c>
    </row>
    <row r="55" spans="1:15" x14ac:dyDescent="0.2">
      <c r="A55" s="6" t="s">
        <v>290</v>
      </c>
      <c r="B55" s="6" t="s">
        <v>291</v>
      </c>
      <c r="C55" s="6" t="s">
        <v>56</v>
      </c>
      <c r="D55" s="7">
        <v>728.73480662983422</v>
      </c>
      <c r="E55" s="7">
        <v>181</v>
      </c>
      <c r="F55" s="7">
        <v>41.801385681293297</v>
      </c>
      <c r="G55" s="6" t="s">
        <v>267</v>
      </c>
      <c r="H55" s="6">
        <v>1</v>
      </c>
      <c r="I55" s="16">
        <v>-8.8876998384256272</v>
      </c>
      <c r="J55" s="16">
        <v>-8.8876998384256272</v>
      </c>
      <c r="K55" s="6" t="s">
        <v>58</v>
      </c>
      <c r="L55" s="6" t="s">
        <v>63</v>
      </c>
      <c r="M55" s="7">
        <v>73.16687499999999</v>
      </c>
      <c r="N55" s="6" t="s">
        <v>52</v>
      </c>
      <c r="O55" s="6">
        <v>0.8427916276695312</v>
      </c>
    </row>
    <row r="56" spans="1:15" x14ac:dyDescent="0.2">
      <c r="A56" s="6" t="s">
        <v>292</v>
      </c>
      <c r="B56" s="6" t="s">
        <v>293</v>
      </c>
      <c r="C56" s="6" t="s">
        <v>56</v>
      </c>
      <c r="D56" s="7">
        <v>387.09523809523807</v>
      </c>
      <c r="E56" s="7">
        <v>168</v>
      </c>
      <c r="F56" s="7">
        <v>38.799076212471128</v>
      </c>
      <c r="G56" s="6" t="s">
        <v>220</v>
      </c>
      <c r="H56" s="6"/>
      <c r="I56" s="16"/>
      <c r="J56" s="16">
        <v>-1.273147819780216</v>
      </c>
      <c r="K56" s="6" t="s">
        <v>51</v>
      </c>
      <c r="L56" s="6" t="s">
        <v>50</v>
      </c>
      <c r="M56" s="7">
        <v>45</v>
      </c>
      <c r="N56" s="6" t="s">
        <v>52</v>
      </c>
      <c r="O56" s="6">
        <v>0.86899563318777295</v>
      </c>
    </row>
    <row r="57" spans="1:15" x14ac:dyDescent="0.2">
      <c r="A57" s="6" t="s">
        <v>294</v>
      </c>
      <c r="B57" s="6" t="s">
        <v>295</v>
      </c>
      <c r="C57" s="6" t="s">
        <v>49</v>
      </c>
      <c r="D57" s="7"/>
      <c r="E57" s="7"/>
      <c r="F57" s="7"/>
      <c r="G57" s="6"/>
      <c r="H57" s="6"/>
      <c r="I57" s="16"/>
      <c r="J57" s="16">
        <v>-1.384113661892663</v>
      </c>
      <c r="K57" s="6" t="s">
        <v>143</v>
      </c>
      <c r="L57" s="6" t="s">
        <v>50</v>
      </c>
      <c r="M57" s="7"/>
      <c r="N57" s="6" t="s">
        <v>132</v>
      </c>
      <c r="O57" s="6"/>
    </row>
    <row r="58" spans="1:15" x14ac:dyDescent="0.2">
      <c r="A58" s="6" t="s">
        <v>296</v>
      </c>
      <c r="B58" s="6" t="s">
        <v>297</v>
      </c>
      <c r="C58" s="6" t="s">
        <v>56</v>
      </c>
      <c r="D58" s="7">
        <v>193</v>
      </c>
      <c r="E58" s="7">
        <v>50</v>
      </c>
      <c r="F58" s="7">
        <v>11.5473441108545</v>
      </c>
      <c r="G58" s="6" t="s">
        <v>247</v>
      </c>
      <c r="H58" s="6">
        <v>2</v>
      </c>
      <c r="I58" s="16">
        <v>-4.5758104171417484</v>
      </c>
      <c r="J58" s="16">
        <v>-4.5758104171417484</v>
      </c>
      <c r="K58" s="6" t="s">
        <v>58</v>
      </c>
      <c r="L58" s="6" t="s">
        <v>63</v>
      </c>
      <c r="M58" s="7">
        <v>57.9</v>
      </c>
      <c r="N58" s="6" t="s">
        <v>132</v>
      </c>
      <c r="O58" s="6"/>
    </row>
    <row r="59" spans="1:15" x14ac:dyDescent="0.2">
      <c r="A59" s="6" t="s">
        <v>298</v>
      </c>
      <c r="B59" s="6" t="s">
        <v>299</v>
      </c>
      <c r="C59" s="6" t="s">
        <v>56</v>
      </c>
      <c r="D59" s="7">
        <v>175</v>
      </c>
      <c r="E59" s="7">
        <v>57</v>
      </c>
      <c r="F59" s="7">
        <v>13.163972286374131</v>
      </c>
      <c r="G59" s="6" t="s">
        <v>247</v>
      </c>
      <c r="H59" s="6">
        <v>1</v>
      </c>
      <c r="I59" s="16">
        <v>-5.7538006515443776</v>
      </c>
      <c r="J59" s="16">
        <v>-5.7538006515443776</v>
      </c>
      <c r="K59" s="6" t="s">
        <v>58</v>
      </c>
      <c r="L59" s="6" t="s">
        <v>63</v>
      </c>
      <c r="M59" s="7">
        <v>12.63</v>
      </c>
      <c r="N59" s="6" t="s">
        <v>52</v>
      </c>
      <c r="O59" s="6">
        <v>0.83912976313079313</v>
      </c>
    </row>
    <row r="60" spans="1:15" x14ac:dyDescent="0.2">
      <c r="A60" s="6" t="s">
        <v>300</v>
      </c>
      <c r="B60" s="6" t="s">
        <v>301</v>
      </c>
      <c r="C60" s="6" t="s">
        <v>49</v>
      </c>
      <c r="D60" s="7">
        <v>1999</v>
      </c>
      <c r="E60" s="7">
        <v>11</v>
      </c>
      <c r="F60" s="7">
        <v>2.5404157043879909</v>
      </c>
      <c r="G60" s="6" t="s">
        <v>302</v>
      </c>
      <c r="H60" s="6"/>
      <c r="I60" s="16"/>
      <c r="J60" s="16">
        <v>-1.384113661892663</v>
      </c>
      <c r="K60" s="6" t="s">
        <v>143</v>
      </c>
      <c r="L60" s="6" t="s">
        <v>50</v>
      </c>
      <c r="M60" s="7">
        <v>279.64</v>
      </c>
      <c r="N60" s="6" t="s">
        <v>52</v>
      </c>
      <c r="O60" s="6">
        <v>0.8282836966533621</v>
      </c>
    </row>
    <row r="61" spans="1:15" x14ac:dyDescent="0.2">
      <c r="A61" s="6" t="s">
        <v>108</v>
      </c>
      <c r="B61" s="6" t="s">
        <v>109</v>
      </c>
      <c r="C61" s="6" t="s">
        <v>56</v>
      </c>
      <c r="D61" s="7">
        <v>609.55535390199634</v>
      </c>
      <c r="E61" s="7">
        <v>551</v>
      </c>
      <c r="F61" s="7">
        <v>127.2517321016166</v>
      </c>
      <c r="G61" s="6" t="s">
        <v>267</v>
      </c>
      <c r="H61" s="6">
        <v>4</v>
      </c>
      <c r="I61" s="16">
        <v>-1.7641271114040109</v>
      </c>
      <c r="J61" s="16">
        <v>-1.7641271114040109</v>
      </c>
      <c r="K61" s="6" t="s">
        <v>58</v>
      </c>
      <c r="L61" s="6" t="s">
        <v>57</v>
      </c>
      <c r="M61" s="7">
        <v>73.75</v>
      </c>
      <c r="N61" s="6" t="s">
        <v>52</v>
      </c>
      <c r="O61" s="6">
        <v>0.78940362087326943</v>
      </c>
    </row>
    <row r="62" spans="1:15" x14ac:dyDescent="0.2">
      <c r="A62" s="6" t="s">
        <v>92</v>
      </c>
      <c r="B62" s="6" t="s">
        <v>93</v>
      </c>
      <c r="C62" s="6" t="s">
        <v>56</v>
      </c>
      <c r="D62" s="7">
        <v>630.74826388888891</v>
      </c>
      <c r="E62" s="7">
        <v>576</v>
      </c>
      <c r="F62" s="7">
        <v>133.02540415704391</v>
      </c>
      <c r="G62" s="6" t="s">
        <v>267</v>
      </c>
      <c r="H62" s="6">
        <v>1</v>
      </c>
      <c r="I62" s="16">
        <v>-3.243527372700366</v>
      </c>
      <c r="J62" s="16">
        <v>-3.243527372700366</v>
      </c>
      <c r="K62" s="6" t="s">
        <v>58</v>
      </c>
      <c r="L62" s="6" t="s">
        <v>63</v>
      </c>
      <c r="M62" s="7">
        <v>89.858235294117648</v>
      </c>
      <c r="N62" s="6" t="s">
        <v>52</v>
      </c>
      <c r="O62" s="6">
        <v>0.75360878742866078</v>
      </c>
    </row>
    <row r="63" spans="1:15" x14ac:dyDescent="0.2">
      <c r="A63" s="6" t="s">
        <v>80</v>
      </c>
      <c r="B63" s="6" t="s">
        <v>81</v>
      </c>
      <c r="C63" s="6" t="s">
        <v>56</v>
      </c>
      <c r="D63" s="7">
        <v>422.99564549180332</v>
      </c>
      <c r="E63" s="7">
        <v>3904</v>
      </c>
      <c r="F63" s="7">
        <v>901.61662817551962</v>
      </c>
      <c r="G63" s="6" t="s">
        <v>220</v>
      </c>
      <c r="H63" s="6">
        <v>1</v>
      </c>
      <c r="I63" s="16">
        <v>-0.1663277053804128</v>
      </c>
      <c r="J63" s="16">
        <v>-0.1663277053804128</v>
      </c>
      <c r="K63" s="6" t="s">
        <v>58</v>
      </c>
      <c r="L63" s="6" t="s">
        <v>63</v>
      </c>
      <c r="M63" s="7">
        <v>66.421932515337417</v>
      </c>
      <c r="N63" s="6" t="s">
        <v>52</v>
      </c>
      <c r="O63" s="6">
        <v>0.76495028518973118</v>
      </c>
    </row>
    <row r="64" spans="1:15" x14ac:dyDescent="0.2">
      <c r="A64" s="6" t="s">
        <v>303</v>
      </c>
      <c r="B64" s="6" t="s">
        <v>304</v>
      </c>
      <c r="C64" s="6" t="s">
        <v>56</v>
      </c>
      <c r="D64" s="7">
        <v>165</v>
      </c>
      <c r="E64" s="7">
        <v>24</v>
      </c>
      <c r="F64" s="7">
        <v>5.5427251732101617</v>
      </c>
      <c r="G64" s="6" t="s">
        <v>247</v>
      </c>
      <c r="H64" s="6">
        <v>1</v>
      </c>
      <c r="I64" s="16">
        <v>1.2924932439598391</v>
      </c>
      <c r="J64" s="16">
        <v>1.2924932439598391</v>
      </c>
      <c r="K64" s="6" t="s">
        <v>58</v>
      </c>
      <c r="L64" s="6" t="s">
        <v>63</v>
      </c>
      <c r="M64" s="7">
        <v>3.62</v>
      </c>
      <c r="N64" s="6" t="s">
        <v>52</v>
      </c>
      <c r="O64" s="6">
        <v>0.80173086067522581</v>
      </c>
    </row>
    <row r="65" spans="1:15" x14ac:dyDescent="0.2">
      <c r="A65" s="6" t="s">
        <v>158</v>
      </c>
      <c r="B65" s="6" t="s">
        <v>159</v>
      </c>
      <c r="C65" s="6" t="s">
        <v>56</v>
      </c>
      <c r="D65" s="7">
        <v>263.02959094865099</v>
      </c>
      <c r="E65" s="7">
        <v>1149</v>
      </c>
      <c r="F65" s="7">
        <v>265.35796766743653</v>
      </c>
      <c r="G65" s="6" t="s">
        <v>247</v>
      </c>
      <c r="H65" s="6">
        <v>4</v>
      </c>
      <c r="I65" s="16">
        <v>-0.90525285458289018</v>
      </c>
      <c r="J65" s="16">
        <v>-0.90525285458289018</v>
      </c>
      <c r="K65" s="6" t="s">
        <v>58</v>
      </c>
      <c r="L65" s="6" t="s">
        <v>57</v>
      </c>
      <c r="M65" s="7">
        <v>30.472115384615389</v>
      </c>
      <c r="N65" s="6" t="s">
        <v>52</v>
      </c>
      <c r="O65" s="6">
        <v>0.75924492829660728</v>
      </c>
    </row>
    <row r="66" spans="1:15" x14ac:dyDescent="0.2">
      <c r="A66" s="6" t="s">
        <v>160</v>
      </c>
      <c r="B66" s="6" t="s">
        <v>161</v>
      </c>
      <c r="C66" s="6" t="s">
        <v>56</v>
      </c>
      <c r="D66" s="7">
        <v>171.55622188905551</v>
      </c>
      <c r="E66" s="7">
        <v>667</v>
      </c>
      <c r="F66" s="7">
        <v>154.04157043879911</v>
      </c>
      <c r="G66" s="6" t="s">
        <v>247</v>
      </c>
      <c r="H66" s="6">
        <v>3</v>
      </c>
      <c r="I66" s="16">
        <v>0.21683755115706321</v>
      </c>
      <c r="J66" s="16">
        <v>0.21683755115706321</v>
      </c>
      <c r="K66" s="6" t="s">
        <v>58</v>
      </c>
      <c r="L66" s="6" t="s">
        <v>57</v>
      </c>
      <c r="M66" s="7">
        <v>5.1677777777777774</v>
      </c>
      <c r="N66" s="6" t="s">
        <v>52</v>
      </c>
      <c r="O66" s="6">
        <v>0.82939234120614547</v>
      </c>
    </row>
    <row r="67" spans="1:15" x14ac:dyDescent="0.2">
      <c r="A67" s="6" t="s">
        <v>82</v>
      </c>
      <c r="B67" s="6" t="s">
        <v>83</v>
      </c>
      <c r="C67" s="6" t="s">
        <v>56</v>
      </c>
      <c r="D67" s="7">
        <v>604.69083969465646</v>
      </c>
      <c r="E67" s="7">
        <v>2096</v>
      </c>
      <c r="F67" s="7">
        <v>484.06466512702082</v>
      </c>
      <c r="G67" s="6" t="s">
        <v>267</v>
      </c>
      <c r="H67" s="6"/>
      <c r="I67" s="16"/>
      <c r="J67" s="16">
        <v>-2.3697537837821541</v>
      </c>
      <c r="K67" s="6" t="s">
        <v>51</v>
      </c>
      <c r="L67" s="6" t="s">
        <v>50</v>
      </c>
      <c r="M67" s="7">
        <v>65.259130434782605</v>
      </c>
      <c r="N67" s="6" t="s">
        <v>52</v>
      </c>
      <c r="O67" s="6">
        <v>0.8964569536423842</v>
      </c>
    </row>
    <row r="68" spans="1:15" x14ac:dyDescent="0.2">
      <c r="A68" s="6" t="s">
        <v>61</v>
      </c>
      <c r="B68" s="6" t="s">
        <v>62</v>
      </c>
      <c r="C68" s="6" t="s">
        <v>56</v>
      </c>
      <c r="D68" s="7">
        <v>537.22202166064983</v>
      </c>
      <c r="E68" s="7">
        <v>1108</v>
      </c>
      <c r="F68" s="7">
        <v>255.8891454965358</v>
      </c>
      <c r="G68" s="6" t="s">
        <v>220</v>
      </c>
      <c r="H68" s="6">
        <v>1</v>
      </c>
      <c r="I68" s="16">
        <v>-8.6836868834388508</v>
      </c>
      <c r="J68" s="16">
        <v>-8.6836868834388508</v>
      </c>
      <c r="K68" s="6" t="s">
        <v>58</v>
      </c>
      <c r="L68" s="6" t="s">
        <v>63</v>
      </c>
      <c r="M68" s="7">
        <v>85.847090909090909</v>
      </c>
      <c r="N68" s="6" t="s">
        <v>52</v>
      </c>
      <c r="O68" s="6">
        <v>0.77417052023121391</v>
      </c>
    </row>
    <row r="69" spans="1:15" x14ac:dyDescent="0.2">
      <c r="A69" s="6" t="s">
        <v>305</v>
      </c>
      <c r="B69" s="6" t="s">
        <v>306</v>
      </c>
      <c r="C69" s="6" t="s">
        <v>49</v>
      </c>
      <c r="D69" s="7"/>
      <c r="E69" s="7"/>
      <c r="F69" s="7"/>
      <c r="G69" s="6"/>
      <c r="H69" s="6"/>
      <c r="I69" s="16"/>
      <c r="J69" s="16">
        <v>-1.384113661892663</v>
      </c>
      <c r="K69" s="6" t="s">
        <v>143</v>
      </c>
      <c r="L69" s="6" t="s">
        <v>50</v>
      </c>
      <c r="M69" s="7"/>
      <c r="N69" s="6" t="s">
        <v>132</v>
      </c>
      <c r="O69" s="6"/>
    </row>
    <row r="70" spans="1:15" x14ac:dyDescent="0.2">
      <c r="A70" s="6" t="s">
        <v>307</v>
      </c>
      <c r="B70" s="6" t="s">
        <v>308</v>
      </c>
      <c r="C70" s="6" t="s">
        <v>56</v>
      </c>
      <c r="D70" s="7">
        <v>1374.375</v>
      </c>
      <c r="E70" s="7">
        <v>96</v>
      </c>
      <c r="F70" s="7">
        <v>22.17090069284065</v>
      </c>
      <c r="G70" s="6" t="s">
        <v>260</v>
      </c>
      <c r="H70" s="6">
        <v>2</v>
      </c>
      <c r="I70" s="16">
        <v>5.3023849595894497</v>
      </c>
      <c r="J70" s="16">
        <v>5.3023849595894497</v>
      </c>
      <c r="K70" s="6" t="s">
        <v>58</v>
      </c>
      <c r="L70" s="6" t="s">
        <v>57</v>
      </c>
      <c r="M70" s="7">
        <v>138.6</v>
      </c>
      <c r="N70" s="6" t="s">
        <v>52</v>
      </c>
      <c r="O70" s="6">
        <v>0.80426045016077174</v>
      </c>
    </row>
    <row r="71" spans="1:15" x14ac:dyDescent="0.2">
      <c r="A71" s="6" t="s">
        <v>54</v>
      </c>
      <c r="B71" s="6" t="s">
        <v>55</v>
      </c>
      <c r="C71" s="6" t="s">
        <v>56</v>
      </c>
      <c r="D71" s="7">
        <v>409.03150846790072</v>
      </c>
      <c r="E71" s="7">
        <v>2539</v>
      </c>
      <c r="F71" s="7">
        <v>586.37413394919167</v>
      </c>
      <c r="G71" s="6" t="s">
        <v>220</v>
      </c>
      <c r="H71" s="6">
        <v>2</v>
      </c>
      <c r="I71" s="16">
        <v>-8.1042285027873433</v>
      </c>
      <c r="J71" s="16">
        <v>-8.1042285027873433</v>
      </c>
      <c r="K71" s="6" t="s">
        <v>58</v>
      </c>
      <c r="L71" s="6" t="s">
        <v>57</v>
      </c>
      <c r="M71" s="7">
        <v>103.9</v>
      </c>
      <c r="N71" s="6" t="s">
        <v>52</v>
      </c>
      <c r="O71" s="6">
        <v>0.58410157328181067</v>
      </c>
    </row>
    <row r="72" spans="1:15" x14ac:dyDescent="0.2">
      <c r="A72" s="6" t="s">
        <v>309</v>
      </c>
      <c r="B72" s="6" t="s">
        <v>310</v>
      </c>
      <c r="C72" s="6" t="s">
        <v>56</v>
      </c>
      <c r="D72" s="7"/>
      <c r="E72" s="7"/>
      <c r="F72" s="7"/>
      <c r="G72" s="6"/>
      <c r="H72" s="6"/>
      <c r="I72" s="16"/>
      <c r="J72" s="16">
        <v>-1.08034578285814</v>
      </c>
      <c r="K72" s="6" t="s">
        <v>143</v>
      </c>
      <c r="L72" s="6" t="s">
        <v>50</v>
      </c>
      <c r="M72" s="7">
        <v>173.25</v>
      </c>
      <c r="N72" s="6" t="s">
        <v>52</v>
      </c>
      <c r="O72" s="6">
        <v>0.79593639575971731</v>
      </c>
    </row>
    <row r="73" spans="1:15" x14ac:dyDescent="0.2">
      <c r="A73" s="6" t="s">
        <v>311</v>
      </c>
      <c r="B73" s="6" t="s">
        <v>312</v>
      </c>
      <c r="C73" s="6" t="s">
        <v>56</v>
      </c>
      <c r="D73" s="7"/>
      <c r="E73" s="7"/>
      <c r="F73" s="7"/>
      <c r="G73" s="6"/>
      <c r="H73" s="6"/>
      <c r="I73" s="16"/>
      <c r="J73" s="16">
        <v>-1.08034578285814</v>
      </c>
      <c r="K73" s="6" t="s">
        <v>143</v>
      </c>
      <c r="L73" s="6" t="s">
        <v>50</v>
      </c>
      <c r="M73" s="7"/>
      <c r="N73" s="6" t="s">
        <v>132</v>
      </c>
      <c r="O73" s="6"/>
    </row>
    <row r="74" spans="1:15" x14ac:dyDescent="0.2">
      <c r="A74" s="6" t="s">
        <v>313</v>
      </c>
      <c r="B74" s="6" t="s">
        <v>314</v>
      </c>
      <c r="C74" s="6" t="s">
        <v>56</v>
      </c>
      <c r="D74" s="7"/>
      <c r="E74" s="7"/>
      <c r="F74" s="7"/>
      <c r="G74" s="6"/>
      <c r="H74" s="6">
        <v>1</v>
      </c>
      <c r="I74" s="16">
        <v>1.474081850027122</v>
      </c>
      <c r="J74" s="16">
        <v>1.474081850027122</v>
      </c>
      <c r="K74" s="6" t="s">
        <v>58</v>
      </c>
      <c r="L74" s="6" t="s">
        <v>63</v>
      </c>
      <c r="M74" s="7">
        <v>87.14</v>
      </c>
      <c r="N74" s="6" t="s">
        <v>52</v>
      </c>
      <c r="O74" s="6">
        <v>0.87470884255930992</v>
      </c>
    </row>
    <row r="75" spans="1:15" x14ac:dyDescent="0.2">
      <c r="A75" s="6" t="s">
        <v>315</v>
      </c>
      <c r="B75" s="6" t="s">
        <v>316</v>
      </c>
      <c r="C75" s="6" t="s">
        <v>56</v>
      </c>
      <c r="D75" s="7"/>
      <c r="E75" s="7"/>
      <c r="F75" s="7"/>
      <c r="G75" s="6"/>
      <c r="H75" s="6"/>
      <c r="I75" s="16"/>
      <c r="J75" s="16">
        <v>-1.08034578285814</v>
      </c>
      <c r="K75" s="6" t="s">
        <v>143</v>
      </c>
      <c r="L75" s="6" t="s">
        <v>50</v>
      </c>
      <c r="M75" s="7">
        <v>78.644999999999996</v>
      </c>
      <c r="N75" s="6" t="s">
        <v>52</v>
      </c>
      <c r="O75" s="6">
        <v>0.88391881918819193</v>
      </c>
    </row>
    <row r="76" spans="1:15" x14ac:dyDescent="0.2">
      <c r="A76" s="6" t="s">
        <v>317</v>
      </c>
      <c r="B76" s="6" t="s">
        <v>318</v>
      </c>
      <c r="C76" s="6" t="s">
        <v>56</v>
      </c>
      <c r="D76" s="7"/>
      <c r="E76" s="7"/>
      <c r="F76" s="7"/>
      <c r="G76" s="6"/>
      <c r="H76" s="6"/>
      <c r="I76" s="16"/>
      <c r="J76" s="16">
        <v>-1.08034578285814</v>
      </c>
      <c r="K76" s="6" t="s">
        <v>143</v>
      </c>
      <c r="L76" s="6" t="s">
        <v>50</v>
      </c>
      <c r="M76" s="7">
        <v>200</v>
      </c>
      <c r="N76" s="6" t="s">
        <v>52</v>
      </c>
      <c r="O76" s="6">
        <v>0.82891360136869119</v>
      </c>
    </row>
    <row r="77" spans="1:15" x14ac:dyDescent="0.2">
      <c r="A77" s="6" t="s">
        <v>319</v>
      </c>
      <c r="B77" s="6" t="s">
        <v>320</v>
      </c>
      <c r="C77" s="6" t="s">
        <v>56</v>
      </c>
      <c r="D77" s="7"/>
      <c r="E77" s="7"/>
      <c r="F77" s="7"/>
      <c r="G77" s="6"/>
      <c r="H77" s="6"/>
      <c r="I77" s="16"/>
      <c r="J77" s="16">
        <v>-1.08034578285814</v>
      </c>
      <c r="K77" s="6" t="s">
        <v>143</v>
      </c>
      <c r="L77" s="6" t="s">
        <v>50</v>
      </c>
      <c r="M77" s="7">
        <v>86.63</v>
      </c>
      <c r="N77" s="6" t="s">
        <v>52</v>
      </c>
      <c r="O77" s="6">
        <v>0.90353006681514481</v>
      </c>
    </row>
    <row r="78" spans="1:15" x14ac:dyDescent="0.2">
      <c r="A78" s="6" t="s">
        <v>321</v>
      </c>
      <c r="B78" s="6" t="s">
        <v>322</v>
      </c>
      <c r="C78" s="6" t="s">
        <v>56</v>
      </c>
      <c r="D78" s="7">
        <v>1999</v>
      </c>
      <c r="E78" s="7">
        <v>141</v>
      </c>
      <c r="F78" s="7">
        <v>32.5635103926097</v>
      </c>
      <c r="G78" s="6" t="s">
        <v>302</v>
      </c>
      <c r="H78" s="6">
        <v>1</v>
      </c>
      <c r="I78" s="16">
        <v>-9.4537357036206622</v>
      </c>
      <c r="J78" s="16">
        <v>-9.4537357036206622</v>
      </c>
      <c r="K78" s="6" t="s">
        <v>58</v>
      </c>
      <c r="L78" s="6" t="s">
        <v>63</v>
      </c>
      <c r="M78" s="7">
        <v>488.57833333333338</v>
      </c>
      <c r="N78" s="6" t="s">
        <v>52</v>
      </c>
      <c r="O78" s="6">
        <v>0.64557571950918602</v>
      </c>
    </row>
    <row r="79" spans="1:15" x14ac:dyDescent="0.2">
      <c r="A79" s="6" t="s">
        <v>323</v>
      </c>
      <c r="B79" s="6" t="s">
        <v>324</v>
      </c>
      <c r="C79" s="6" t="s">
        <v>56</v>
      </c>
      <c r="D79" s="7">
        <v>900</v>
      </c>
      <c r="E79" s="7">
        <v>64</v>
      </c>
      <c r="F79" s="7">
        <v>14.78060046189376</v>
      </c>
      <c r="G79" s="6" t="s">
        <v>267</v>
      </c>
      <c r="H79" s="6"/>
      <c r="I79" s="16"/>
      <c r="J79" s="16">
        <v>-2.3697537837821541</v>
      </c>
      <c r="K79" s="6" t="s">
        <v>51</v>
      </c>
      <c r="L79" s="6" t="s">
        <v>50</v>
      </c>
      <c r="M79" s="7">
        <v>270</v>
      </c>
      <c r="N79" s="6" t="s">
        <v>132</v>
      </c>
      <c r="O79" s="6"/>
    </row>
    <row r="80" spans="1:15" x14ac:dyDescent="0.2">
      <c r="A80" s="6" t="s">
        <v>325</v>
      </c>
      <c r="B80" s="6" t="s">
        <v>326</v>
      </c>
      <c r="C80" s="6" t="s">
        <v>56</v>
      </c>
      <c r="D80" s="7">
        <v>699</v>
      </c>
      <c r="E80" s="7">
        <v>32</v>
      </c>
      <c r="F80" s="7">
        <v>7.3903002309468819</v>
      </c>
      <c r="G80" s="6" t="s">
        <v>267</v>
      </c>
      <c r="H80" s="6"/>
      <c r="I80" s="16"/>
      <c r="J80" s="16">
        <v>-2.3697537837821541</v>
      </c>
      <c r="K80" s="6" t="s">
        <v>51</v>
      </c>
      <c r="L80" s="6" t="s">
        <v>50</v>
      </c>
      <c r="M80" s="7">
        <v>60.65</v>
      </c>
      <c r="N80" s="6" t="s">
        <v>52</v>
      </c>
      <c r="O80" s="6">
        <v>0.81135303265940906</v>
      </c>
    </row>
    <row r="81" spans="1:15" x14ac:dyDescent="0.2">
      <c r="A81" s="6" t="s">
        <v>162</v>
      </c>
      <c r="B81" s="6" t="s">
        <v>163</v>
      </c>
      <c r="C81" s="6" t="s">
        <v>56</v>
      </c>
      <c r="D81" s="7">
        <v>531.26943005181352</v>
      </c>
      <c r="E81" s="7">
        <v>1544</v>
      </c>
      <c r="F81" s="7">
        <v>356.58198614318712</v>
      </c>
      <c r="G81" s="6" t="s">
        <v>220</v>
      </c>
      <c r="H81" s="6"/>
      <c r="I81" s="16"/>
      <c r="J81" s="16">
        <v>-1.273147819780216</v>
      </c>
      <c r="K81" s="6" t="s">
        <v>51</v>
      </c>
      <c r="L81" s="6" t="s">
        <v>50</v>
      </c>
      <c r="M81" s="7">
        <v>60.670459363957598</v>
      </c>
      <c r="N81" s="6" t="s">
        <v>52</v>
      </c>
      <c r="O81" s="6">
        <v>0.81949264250623499</v>
      </c>
    </row>
    <row r="82" spans="1:15" x14ac:dyDescent="0.2">
      <c r="A82" s="6" t="s">
        <v>116</v>
      </c>
      <c r="B82" s="6" t="s">
        <v>117</v>
      </c>
      <c r="C82" s="6" t="s">
        <v>56</v>
      </c>
      <c r="D82" s="7">
        <v>683.88888888888891</v>
      </c>
      <c r="E82" s="7">
        <v>225</v>
      </c>
      <c r="F82" s="7">
        <v>51.963048498845268</v>
      </c>
      <c r="G82" s="6" t="s">
        <v>267</v>
      </c>
      <c r="H82" s="6"/>
      <c r="I82" s="16"/>
      <c r="J82" s="16">
        <v>-2.3697537837821541</v>
      </c>
      <c r="K82" s="6" t="s">
        <v>51</v>
      </c>
      <c r="L82" s="6" t="s">
        <v>50</v>
      </c>
      <c r="M82" s="7">
        <v>250.51217391304351</v>
      </c>
      <c r="N82" s="6" t="s">
        <v>52</v>
      </c>
      <c r="O82" s="6">
        <v>0.64015152827084598</v>
      </c>
    </row>
    <row r="83" spans="1:15" x14ac:dyDescent="0.2">
      <c r="A83" s="6" t="s">
        <v>327</v>
      </c>
      <c r="B83" s="6" t="s">
        <v>328</v>
      </c>
      <c r="C83" s="6" t="s">
        <v>56</v>
      </c>
      <c r="D83" s="7">
        <v>450</v>
      </c>
      <c r="E83" s="7">
        <v>12</v>
      </c>
      <c r="F83" s="7">
        <v>2.7713625866050808</v>
      </c>
      <c r="G83" s="6" t="s">
        <v>220</v>
      </c>
      <c r="H83" s="6"/>
      <c r="I83" s="16"/>
      <c r="J83" s="16">
        <v>-1.273147819780216</v>
      </c>
      <c r="K83" s="6" t="s">
        <v>51</v>
      </c>
      <c r="L83" s="6" t="s">
        <v>50</v>
      </c>
      <c r="M83" s="7">
        <v>135</v>
      </c>
      <c r="N83" s="6" t="s">
        <v>132</v>
      </c>
      <c r="O83" s="6"/>
    </row>
    <row r="84" spans="1:15" x14ac:dyDescent="0.2">
      <c r="A84" s="6" t="s">
        <v>329</v>
      </c>
      <c r="B84" s="6" t="s">
        <v>330</v>
      </c>
      <c r="C84" s="6" t="s">
        <v>56</v>
      </c>
      <c r="D84" s="7">
        <v>492.5</v>
      </c>
      <c r="E84" s="7">
        <v>22</v>
      </c>
      <c r="F84" s="7">
        <v>5.0808314087759818</v>
      </c>
      <c r="G84" s="6" t="s">
        <v>220</v>
      </c>
      <c r="H84" s="6">
        <v>3</v>
      </c>
      <c r="I84" s="16">
        <v>-0.79311722716077815</v>
      </c>
      <c r="J84" s="16">
        <v>-0.79311722716077815</v>
      </c>
      <c r="K84" s="6" t="s">
        <v>58</v>
      </c>
      <c r="L84" s="6" t="s">
        <v>57</v>
      </c>
      <c r="M84" s="7">
        <v>54.88</v>
      </c>
      <c r="N84" s="6" t="s">
        <v>52</v>
      </c>
      <c r="O84" s="6">
        <v>0.89606060606060611</v>
      </c>
    </row>
    <row r="85" spans="1:15" x14ac:dyDescent="0.2">
      <c r="A85" s="6" t="s">
        <v>331</v>
      </c>
      <c r="B85" s="6" t="s">
        <v>332</v>
      </c>
      <c r="C85" s="6" t="s">
        <v>56</v>
      </c>
      <c r="D85" s="7">
        <v>867.55737704918033</v>
      </c>
      <c r="E85" s="7">
        <v>61</v>
      </c>
      <c r="F85" s="7">
        <v>14.087759815242491</v>
      </c>
      <c r="G85" s="6" t="s">
        <v>267</v>
      </c>
      <c r="H85" s="6">
        <v>5</v>
      </c>
      <c r="I85" s="16">
        <v>-6.0652407861355666</v>
      </c>
      <c r="J85" s="16">
        <v>-6.0652407861355666</v>
      </c>
      <c r="K85" s="6" t="s">
        <v>58</v>
      </c>
      <c r="L85" s="6" t="s">
        <v>63</v>
      </c>
      <c r="M85" s="7">
        <v>243.70666666666671</v>
      </c>
      <c r="N85" s="6" t="s">
        <v>52</v>
      </c>
      <c r="O85" s="6">
        <v>0.6759326909247807</v>
      </c>
    </row>
    <row r="86" spans="1:15" x14ac:dyDescent="0.2">
      <c r="A86" s="6" t="s">
        <v>333</v>
      </c>
      <c r="B86" s="6" t="s">
        <v>334</v>
      </c>
      <c r="C86" s="6" t="s">
        <v>56</v>
      </c>
      <c r="D86" s="7">
        <v>3000</v>
      </c>
      <c r="E86" s="7">
        <v>37</v>
      </c>
      <c r="F86" s="7">
        <v>8.5450346420323324</v>
      </c>
      <c r="G86" s="6" t="s">
        <v>335</v>
      </c>
      <c r="H86" s="6"/>
      <c r="I86" s="16"/>
      <c r="J86" s="16">
        <v>-2.4226511382014659</v>
      </c>
      <c r="K86" s="6" t="s">
        <v>51</v>
      </c>
      <c r="L86" s="6" t="s">
        <v>50</v>
      </c>
      <c r="M86" s="7">
        <v>495.5</v>
      </c>
      <c r="N86" s="6" t="s">
        <v>52</v>
      </c>
      <c r="O86" s="6">
        <v>0.63311666096476227</v>
      </c>
    </row>
    <row r="87" spans="1:15" x14ac:dyDescent="0.2">
      <c r="A87" s="6" t="s">
        <v>336</v>
      </c>
      <c r="B87" s="6" t="s">
        <v>337</v>
      </c>
      <c r="C87" s="6" t="s">
        <v>56</v>
      </c>
      <c r="D87" s="7">
        <v>1449</v>
      </c>
      <c r="E87" s="7">
        <v>30</v>
      </c>
      <c r="F87" s="7">
        <v>6.9284064665127021</v>
      </c>
      <c r="G87" s="6" t="s">
        <v>260</v>
      </c>
      <c r="H87" s="6">
        <v>1</v>
      </c>
      <c r="I87" s="16">
        <v>3.0188657989057912</v>
      </c>
      <c r="J87" s="16">
        <v>3.0188657989057912</v>
      </c>
      <c r="K87" s="6" t="s">
        <v>58</v>
      </c>
      <c r="L87" s="6" t="s">
        <v>63</v>
      </c>
      <c r="M87" s="7">
        <v>434.7</v>
      </c>
      <c r="N87" s="6" t="s">
        <v>132</v>
      </c>
      <c r="O87" s="6"/>
    </row>
    <row r="88" spans="1:15" x14ac:dyDescent="0.2">
      <c r="A88" s="6" t="s">
        <v>338</v>
      </c>
      <c r="B88" s="6" t="s">
        <v>339</v>
      </c>
      <c r="C88" s="6" t="s">
        <v>56</v>
      </c>
      <c r="D88" s="7">
        <v>575</v>
      </c>
      <c r="E88" s="7">
        <v>40</v>
      </c>
      <c r="F88" s="7">
        <v>9.2378752886836022</v>
      </c>
      <c r="G88" s="6" t="s">
        <v>220</v>
      </c>
      <c r="H88" s="6"/>
      <c r="I88" s="16"/>
      <c r="J88" s="16">
        <v>-1.273147819780216</v>
      </c>
      <c r="K88" s="6" t="s">
        <v>51</v>
      </c>
      <c r="L88" s="6" t="s">
        <v>50</v>
      </c>
      <c r="M88" s="7">
        <v>114.486</v>
      </c>
      <c r="N88" s="6" t="s">
        <v>52</v>
      </c>
      <c r="O88" s="6">
        <v>0.84520551649540299</v>
      </c>
    </row>
    <row r="89" spans="1:15" x14ac:dyDescent="0.2">
      <c r="A89" s="6" t="s">
        <v>340</v>
      </c>
      <c r="B89" s="6" t="s">
        <v>341</v>
      </c>
      <c r="C89" s="6" t="s">
        <v>56</v>
      </c>
      <c r="D89" s="7">
        <v>749</v>
      </c>
      <c r="E89" s="7">
        <v>21</v>
      </c>
      <c r="F89" s="7">
        <v>4.849884526558891</v>
      </c>
      <c r="G89" s="6" t="s">
        <v>267</v>
      </c>
      <c r="H89" s="6"/>
      <c r="I89" s="16"/>
      <c r="J89" s="16">
        <v>-2.3697537837821541</v>
      </c>
      <c r="K89" s="6" t="s">
        <v>51</v>
      </c>
      <c r="L89" s="6" t="s">
        <v>50</v>
      </c>
      <c r="M89" s="7">
        <v>78.98</v>
      </c>
      <c r="N89" s="6" t="s">
        <v>52</v>
      </c>
      <c r="O89" s="6">
        <v>0.42867680362342281</v>
      </c>
    </row>
    <row r="90" spans="1:15" x14ac:dyDescent="0.2">
      <c r="A90" s="6" t="s">
        <v>342</v>
      </c>
      <c r="B90" s="6" t="s">
        <v>343</v>
      </c>
      <c r="C90" s="6" t="s">
        <v>56</v>
      </c>
      <c r="D90" s="7">
        <v>3299</v>
      </c>
      <c r="E90" s="7">
        <v>11</v>
      </c>
      <c r="F90" s="7">
        <v>2.5404157043879909</v>
      </c>
      <c r="G90" s="6" t="s">
        <v>335</v>
      </c>
      <c r="H90" s="6"/>
      <c r="I90" s="16"/>
      <c r="J90" s="16">
        <v>-2.4226511382014659</v>
      </c>
      <c r="K90" s="6" t="s">
        <v>51</v>
      </c>
      <c r="L90" s="6" t="s">
        <v>50</v>
      </c>
      <c r="M90" s="7">
        <v>654.95545454545459</v>
      </c>
      <c r="N90" s="6" t="s">
        <v>52</v>
      </c>
      <c r="O90" s="6">
        <v>0.68942126471428111</v>
      </c>
    </row>
    <row r="91" spans="1:15" x14ac:dyDescent="0.2">
      <c r="A91" s="6" t="s">
        <v>344</v>
      </c>
      <c r="B91" s="6" t="s">
        <v>345</v>
      </c>
      <c r="C91" s="6" t="s">
        <v>56</v>
      </c>
      <c r="D91" s="7">
        <v>1599</v>
      </c>
      <c r="E91" s="7">
        <v>71</v>
      </c>
      <c r="F91" s="7">
        <v>16.397228637413399</v>
      </c>
      <c r="G91" s="6" t="s">
        <v>302</v>
      </c>
      <c r="H91" s="6"/>
      <c r="I91" s="16"/>
      <c r="J91" s="16">
        <v>-1.1188814656814181</v>
      </c>
      <c r="K91" s="6" t="s">
        <v>51</v>
      </c>
      <c r="L91" s="6" t="s">
        <v>50</v>
      </c>
      <c r="M91" s="7">
        <v>479.7</v>
      </c>
      <c r="N91" s="6" t="s">
        <v>132</v>
      </c>
      <c r="O91" s="6"/>
    </row>
    <row r="92" spans="1:15" x14ac:dyDescent="0.2">
      <c r="A92" s="6" t="s">
        <v>346</v>
      </c>
      <c r="B92" s="6" t="s">
        <v>347</v>
      </c>
      <c r="C92" s="6" t="s">
        <v>49</v>
      </c>
      <c r="D92" s="7"/>
      <c r="E92" s="7"/>
      <c r="F92" s="7"/>
      <c r="G92" s="6"/>
      <c r="H92" s="6"/>
      <c r="I92" s="16"/>
      <c r="J92" s="16">
        <v>-1.384113661892663</v>
      </c>
      <c r="K92" s="6" t="s">
        <v>143</v>
      </c>
      <c r="L92" s="6" t="s">
        <v>50</v>
      </c>
      <c r="M92" s="7">
        <v>239.0171428571428</v>
      </c>
      <c r="N92" s="6" t="s">
        <v>52</v>
      </c>
      <c r="O92" s="6">
        <v>0.89915496353444646</v>
      </c>
    </row>
    <row r="93" spans="1:15" x14ac:dyDescent="0.2">
      <c r="A93" s="6" t="s">
        <v>348</v>
      </c>
      <c r="B93" s="6" t="s">
        <v>349</v>
      </c>
      <c r="C93" s="6" t="s">
        <v>56</v>
      </c>
      <c r="D93" s="7">
        <v>1499</v>
      </c>
      <c r="E93" s="7">
        <v>15</v>
      </c>
      <c r="F93" s="7">
        <v>3.464203233256351</v>
      </c>
      <c r="G93" s="6" t="s">
        <v>260</v>
      </c>
      <c r="H93" s="6"/>
      <c r="I93" s="16"/>
      <c r="J93" s="16">
        <v>3.1718382023897091</v>
      </c>
      <c r="K93" s="6" t="s">
        <v>51</v>
      </c>
      <c r="L93" s="6" t="s">
        <v>50</v>
      </c>
      <c r="M93" s="7">
        <v>92.030000000000015</v>
      </c>
      <c r="N93" s="6" t="s">
        <v>52</v>
      </c>
      <c r="O93" s="6">
        <v>0.69870723136674673</v>
      </c>
    </row>
    <row r="94" spans="1:15" x14ac:dyDescent="0.2">
      <c r="A94" s="6" t="s">
        <v>350</v>
      </c>
      <c r="B94" s="6" t="s">
        <v>351</v>
      </c>
      <c r="C94" s="6" t="s">
        <v>56</v>
      </c>
      <c r="D94" s="7"/>
      <c r="E94" s="7"/>
      <c r="F94" s="7"/>
      <c r="G94" s="6"/>
      <c r="H94" s="6"/>
      <c r="I94" s="16"/>
      <c r="J94" s="16">
        <v>-1.08034578285814</v>
      </c>
      <c r="K94" s="6" t="s">
        <v>143</v>
      </c>
      <c r="L94" s="6" t="s">
        <v>50</v>
      </c>
      <c r="M94" s="7">
        <v>181.39</v>
      </c>
      <c r="N94" s="6" t="s">
        <v>52</v>
      </c>
      <c r="O94" s="6">
        <v>0.85465544871794885</v>
      </c>
    </row>
    <row r="95" spans="1:15" x14ac:dyDescent="0.2">
      <c r="A95" s="6" t="s">
        <v>352</v>
      </c>
      <c r="B95" s="6" t="s">
        <v>353</v>
      </c>
      <c r="C95" s="6" t="s">
        <v>56</v>
      </c>
      <c r="D95" s="7"/>
      <c r="E95" s="7"/>
      <c r="F95" s="7"/>
      <c r="G95" s="6"/>
      <c r="H95" s="6"/>
      <c r="I95" s="16"/>
      <c r="J95" s="16">
        <v>-1.08034578285814</v>
      </c>
      <c r="K95" s="6" t="s">
        <v>143</v>
      </c>
      <c r="L95" s="6" t="s">
        <v>50</v>
      </c>
      <c r="M95" s="7">
        <v>40</v>
      </c>
      <c r="N95" s="6" t="s">
        <v>52</v>
      </c>
      <c r="O95" s="6">
        <v>0.97712978845054321</v>
      </c>
    </row>
    <row r="96" spans="1:15" x14ac:dyDescent="0.2">
      <c r="A96" s="6" t="s">
        <v>354</v>
      </c>
      <c r="B96" s="6" t="s">
        <v>355</v>
      </c>
      <c r="C96" s="6" t="s">
        <v>49</v>
      </c>
      <c r="D96" s="7">
        <v>849</v>
      </c>
      <c r="E96" s="7">
        <v>71</v>
      </c>
      <c r="F96" s="7">
        <v>16.397228637413399</v>
      </c>
      <c r="G96" s="6" t="s">
        <v>267</v>
      </c>
      <c r="H96" s="6"/>
      <c r="I96" s="16"/>
      <c r="J96" s="16">
        <v>-2.6197664336783242</v>
      </c>
      <c r="K96" s="6" t="s">
        <v>51</v>
      </c>
      <c r="L96" s="6" t="s">
        <v>50</v>
      </c>
      <c r="M96" s="7">
        <v>8.43</v>
      </c>
      <c r="N96" s="6" t="s">
        <v>52</v>
      </c>
      <c r="O96" s="6">
        <v>0.98958269961977186</v>
      </c>
    </row>
    <row r="97" spans="1:15" x14ac:dyDescent="0.2">
      <c r="A97" s="6" t="s">
        <v>356</v>
      </c>
      <c r="B97" s="6" t="s">
        <v>357</v>
      </c>
      <c r="C97" s="6" t="s">
        <v>56</v>
      </c>
      <c r="D97" s="7">
        <v>188.89130434782609</v>
      </c>
      <c r="E97" s="7">
        <v>184</v>
      </c>
      <c r="F97" s="7">
        <v>42.494226327944567</v>
      </c>
      <c r="G97" s="6" t="s">
        <v>247</v>
      </c>
      <c r="H97" s="6">
        <v>4</v>
      </c>
      <c r="I97" s="16">
        <v>1.004930101759409</v>
      </c>
      <c r="J97" s="16">
        <v>1.004930101759409</v>
      </c>
      <c r="K97" s="6" t="s">
        <v>58</v>
      </c>
      <c r="L97" s="6" t="s">
        <v>57</v>
      </c>
      <c r="M97" s="7">
        <v>56.667391304347817</v>
      </c>
      <c r="N97" s="6" t="s">
        <v>132</v>
      </c>
      <c r="O97" s="6">
        <v>0</v>
      </c>
    </row>
    <row r="98" spans="1:15" x14ac:dyDescent="0.2">
      <c r="A98" s="6" t="s">
        <v>358</v>
      </c>
      <c r="B98" s="6" t="s">
        <v>359</v>
      </c>
      <c r="C98" s="6" t="s">
        <v>56</v>
      </c>
      <c r="D98" s="7">
        <v>1130</v>
      </c>
      <c r="E98" s="7">
        <v>25</v>
      </c>
      <c r="F98" s="7">
        <v>5.7736720554272516</v>
      </c>
      <c r="G98" s="6" t="s">
        <v>260</v>
      </c>
      <c r="H98" s="6">
        <v>2</v>
      </c>
      <c r="I98" s="16">
        <v>7.0505427924856603</v>
      </c>
      <c r="J98" s="16">
        <v>7.0505427924856603</v>
      </c>
      <c r="K98" s="6" t="s">
        <v>58</v>
      </c>
      <c r="L98" s="6" t="s">
        <v>57</v>
      </c>
      <c r="M98" s="7">
        <v>339</v>
      </c>
      <c r="N98" s="6" t="s">
        <v>132</v>
      </c>
      <c r="O98" s="6">
        <v>0</v>
      </c>
    </row>
    <row r="99" spans="1:15" x14ac:dyDescent="0.2">
      <c r="A99" s="6" t="s">
        <v>360</v>
      </c>
      <c r="B99" s="6" t="s">
        <v>361</v>
      </c>
      <c r="C99" s="6" t="s">
        <v>56</v>
      </c>
      <c r="D99" s="7">
        <v>1795.7777777777781</v>
      </c>
      <c r="E99" s="7">
        <v>54</v>
      </c>
      <c r="F99" s="7">
        <v>12.471131639722859</v>
      </c>
      <c r="G99" s="6" t="s">
        <v>302</v>
      </c>
      <c r="H99" s="6">
        <v>6</v>
      </c>
      <c r="I99" s="16">
        <v>1.827169177836629</v>
      </c>
      <c r="J99" s="16">
        <v>1.827169177836629</v>
      </c>
      <c r="K99" s="6" t="s">
        <v>58</v>
      </c>
      <c r="L99" s="6" t="s">
        <v>57</v>
      </c>
      <c r="M99" s="7">
        <v>538.73333333333335</v>
      </c>
      <c r="N99" s="6" t="s">
        <v>132</v>
      </c>
      <c r="O99" s="6"/>
    </row>
    <row r="100" spans="1:15" x14ac:dyDescent="0.2">
      <c r="A100" s="6" t="s">
        <v>362</v>
      </c>
      <c r="B100" s="6" t="s">
        <v>363</v>
      </c>
      <c r="C100" s="6" t="s">
        <v>56</v>
      </c>
      <c r="D100" s="7">
        <v>1799</v>
      </c>
      <c r="E100" s="7">
        <v>106</v>
      </c>
      <c r="F100" s="7">
        <v>24.480369515011549</v>
      </c>
      <c r="G100" s="6" t="s">
        <v>302</v>
      </c>
      <c r="H100" s="6">
        <v>4</v>
      </c>
      <c r="I100" s="16">
        <v>-1.466843852867953</v>
      </c>
      <c r="J100" s="16">
        <v>-1.466843852867953</v>
      </c>
      <c r="K100" s="6" t="s">
        <v>58</v>
      </c>
      <c r="L100" s="6" t="s">
        <v>57</v>
      </c>
      <c r="M100" s="7">
        <v>375.68</v>
      </c>
      <c r="N100" s="6" t="s">
        <v>52</v>
      </c>
      <c r="O100" s="6">
        <v>0.77082202226628027</v>
      </c>
    </row>
    <row r="101" spans="1:15" x14ac:dyDescent="0.2">
      <c r="A101" s="6" t="s">
        <v>364</v>
      </c>
      <c r="B101" s="6" t="s">
        <v>365</v>
      </c>
      <c r="C101" s="6" t="s">
        <v>56</v>
      </c>
      <c r="D101" s="7">
        <v>2999</v>
      </c>
      <c r="E101" s="7">
        <v>15</v>
      </c>
      <c r="F101" s="7">
        <v>3.464203233256351</v>
      </c>
      <c r="G101" s="6" t="s">
        <v>335</v>
      </c>
      <c r="H101" s="6">
        <v>1</v>
      </c>
      <c r="I101" s="16">
        <v>-2.4226511382014659</v>
      </c>
      <c r="J101" s="16">
        <v>-2.4226511382014659</v>
      </c>
      <c r="K101" s="6" t="s">
        <v>58</v>
      </c>
      <c r="L101" s="6" t="s">
        <v>63</v>
      </c>
      <c r="M101" s="7">
        <v>549.9</v>
      </c>
      <c r="N101" s="6" t="s">
        <v>52</v>
      </c>
      <c r="O101" s="6">
        <v>0.29391002072331041</v>
      </c>
    </row>
    <row r="102" spans="1:15" x14ac:dyDescent="0.2">
      <c r="A102" s="6" t="s">
        <v>164</v>
      </c>
      <c r="B102" s="6" t="s">
        <v>165</v>
      </c>
      <c r="C102" s="6" t="s">
        <v>56</v>
      </c>
      <c r="D102" s="7">
        <v>935.69503546099293</v>
      </c>
      <c r="E102" s="7">
        <v>282</v>
      </c>
      <c r="F102" s="7">
        <v>65.127020785219401</v>
      </c>
      <c r="G102" s="6" t="s">
        <v>267</v>
      </c>
      <c r="H102" s="6">
        <v>1</v>
      </c>
      <c r="I102" s="16">
        <v>4.7044903064414591E-2</v>
      </c>
      <c r="J102" s="16">
        <v>4.7044903064414591E-2</v>
      </c>
      <c r="K102" s="6" t="s">
        <v>58</v>
      </c>
      <c r="L102" s="6" t="s">
        <v>63</v>
      </c>
      <c r="M102" s="7">
        <v>420.78199999999998</v>
      </c>
      <c r="N102" s="6" t="s">
        <v>52</v>
      </c>
      <c r="O102" s="6">
        <v>0.78412579519802994</v>
      </c>
    </row>
    <row r="103" spans="1:15" x14ac:dyDescent="0.2">
      <c r="A103" s="6" t="s">
        <v>110</v>
      </c>
      <c r="B103" s="6" t="s">
        <v>111</v>
      </c>
      <c r="C103" s="6" t="s">
        <v>56</v>
      </c>
      <c r="D103" s="7">
        <v>573.99701492537315</v>
      </c>
      <c r="E103" s="7">
        <v>335</v>
      </c>
      <c r="F103" s="7">
        <v>77.367205542725173</v>
      </c>
      <c r="G103" s="6" t="s">
        <v>220</v>
      </c>
      <c r="H103" s="6">
        <v>3</v>
      </c>
      <c r="I103" s="16">
        <v>-1.832149505494403</v>
      </c>
      <c r="J103" s="16">
        <v>-1.832149505494403</v>
      </c>
      <c r="K103" s="6" t="s">
        <v>58</v>
      </c>
      <c r="L103" s="6" t="s">
        <v>57</v>
      </c>
      <c r="M103" s="7">
        <v>80.849999999999994</v>
      </c>
      <c r="N103" s="6" t="s">
        <v>52</v>
      </c>
      <c r="O103" s="6">
        <v>0.73299704724409442</v>
      </c>
    </row>
    <row r="104" spans="1:15" x14ac:dyDescent="0.2">
      <c r="A104" s="6" t="s">
        <v>366</v>
      </c>
      <c r="B104" s="6" t="s">
        <v>367</v>
      </c>
      <c r="C104" s="6" t="s">
        <v>56</v>
      </c>
      <c r="D104" s="7">
        <v>1349</v>
      </c>
      <c r="E104" s="7">
        <v>119</v>
      </c>
      <c r="F104" s="7">
        <v>27.482678983833718</v>
      </c>
      <c r="G104" s="6" t="s">
        <v>260</v>
      </c>
      <c r="H104" s="6">
        <v>1</v>
      </c>
      <c r="I104" s="16">
        <v>8.0831999611867236</v>
      </c>
      <c r="J104" s="16">
        <v>8.0831999611867236</v>
      </c>
      <c r="K104" s="6" t="s">
        <v>58</v>
      </c>
      <c r="L104" s="6" t="s">
        <v>63</v>
      </c>
      <c r="M104" s="7">
        <v>280</v>
      </c>
      <c r="N104" s="6" t="s">
        <v>52</v>
      </c>
      <c r="O104" s="6">
        <v>0.72132877988202426</v>
      </c>
    </row>
    <row r="105" spans="1:15" x14ac:dyDescent="0.2">
      <c r="A105" s="6" t="s">
        <v>368</v>
      </c>
      <c r="B105" s="6" t="s">
        <v>369</v>
      </c>
      <c r="C105" s="6" t="s">
        <v>56</v>
      </c>
      <c r="D105" s="7"/>
      <c r="E105" s="7"/>
      <c r="F105" s="7"/>
      <c r="G105" s="6"/>
      <c r="H105" s="6"/>
      <c r="I105" s="16"/>
      <c r="J105" s="16">
        <v>-1.08034578285814</v>
      </c>
      <c r="K105" s="6" t="s">
        <v>143</v>
      </c>
      <c r="L105" s="6" t="s">
        <v>50</v>
      </c>
      <c r="M105" s="7">
        <v>415.6</v>
      </c>
      <c r="N105" s="6" t="s">
        <v>52</v>
      </c>
      <c r="O105" s="6">
        <v>0.72977893368010405</v>
      </c>
    </row>
    <row r="106" spans="1:15" x14ac:dyDescent="0.2">
      <c r="A106" s="6" t="s">
        <v>166</v>
      </c>
      <c r="B106" s="6" t="s">
        <v>167</v>
      </c>
      <c r="C106" s="6" t="s">
        <v>56</v>
      </c>
      <c r="D106" s="7">
        <v>403.13186813186809</v>
      </c>
      <c r="E106" s="7">
        <v>2639</v>
      </c>
      <c r="F106" s="7">
        <v>609.46882217090069</v>
      </c>
      <c r="G106" s="6" t="s">
        <v>220</v>
      </c>
      <c r="H106" s="6">
        <v>1</v>
      </c>
      <c r="I106" s="16">
        <v>0.62032278790156792</v>
      </c>
      <c r="J106" s="16">
        <v>0.62032278790156792</v>
      </c>
      <c r="K106" s="6" t="s">
        <v>58</v>
      </c>
      <c r="L106" s="6" t="s">
        <v>63</v>
      </c>
      <c r="M106" s="7">
        <v>36.931782945736437</v>
      </c>
      <c r="N106" s="6" t="s">
        <v>52</v>
      </c>
      <c r="O106" s="6">
        <v>0.79727871532285211</v>
      </c>
    </row>
    <row r="107" spans="1:15" x14ac:dyDescent="0.2">
      <c r="A107" s="6" t="s">
        <v>370</v>
      </c>
      <c r="B107" s="6" t="s">
        <v>371</v>
      </c>
      <c r="C107" s="6" t="s">
        <v>56</v>
      </c>
      <c r="D107" s="7">
        <v>600</v>
      </c>
      <c r="E107" s="7">
        <v>23</v>
      </c>
      <c r="F107" s="7">
        <v>5.3117782909930717</v>
      </c>
      <c r="G107" s="6" t="s">
        <v>267</v>
      </c>
      <c r="H107" s="6"/>
      <c r="I107" s="16"/>
      <c r="J107" s="16">
        <v>-2.3697537837821541</v>
      </c>
      <c r="K107" s="6" t="s">
        <v>51</v>
      </c>
      <c r="L107" s="6" t="s">
        <v>50</v>
      </c>
      <c r="M107" s="7">
        <v>180</v>
      </c>
      <c r="N107" s="6" t="s">
        <v>132</v>
      </c>
      <c r="O107" s="6"/>
    </row>
    <row r="108" spans="1:15" x14ac:dyDescent="0.2">
      <c r="A108" s="6" t="s">
        <v>372</v>
      </c>
      <c r="B108" s="6" t="s">
        <v>373</v>
      </c>
      <c r="C108" s="6" t="s">
        <v>56</v>
      </c>
      <c r="D108" s="7">
        <v>1550</v>
      </c>
      <c r="E108" s="7">
        <v>18</v>
      </c>
      <c r="F108" s="7">
        <v>4.1570438799076213</v>
      </c>
      <c r="G108" s="6" t="s">
        <v>302</v>
      </c>
      <c r="H108" s="6"/>
      <c r="I108" s="16"/>
      <c r="J108" s="16">
        <v>-1.1188814656814181</v>
      </c>
      <c r="K108" s="6" t="s">
        <v>51</v>
      </c>
      <c r="L108" s="6" t="s">
        <v>50</v>
      </c>
      <c r="M108" s="7">
        <v>199.54499999999999</v>
      </c>
      <c r="N108" s="6" t="s">
        <v>52</v>
      </c>
      <c r="O108" s="6">
        <v>0.68762213175425613</v>
      </c>
    </row>
    <row r="109" spans="1:15" x14ac:dyDescent="0.2">
      <c r="A109" s="6" t="s">
        <v>374</v>
      </c>
      <c r="B109" s="6" t="s">
        <v>375</v>
      </c>
      <c r="C109" s="6" t="s">
        <v>49</v>
      </c>
      <c r="D109" s="7">
        <v>799</v>
      </c>
      <c r="E109" s="7">
        <v>148</v>
      </c>
      <c r="F109" s="7">
        <v>34.18013856812933</v>
      </c>
      <c r="G109" s="6" t="s">
        <v>267</v>
      </c>
      <c r="H109" s="6">
        <v>1</v>
      </c>
      <c r="I109" s="16">
        <v>-1.861732045830278</v>
      </c>
      <c r="J109" s="16">
        <v>-1.861732045830278</v>
      </c>
      <c r="K109" s="6" t="s">
        <v>58</v>
      </c>
      <c r="L109" s="6" t="s">
        <v>63</v>
      </c>
      <c r="M109" s="7">
        <v>101.44799999999999</v>
      </c>
      <c r="N109" s="6" t="s">
        <v>52</v>
      </c>
      <c r="O109" s="6">
        <v>0.60898119477380863</v>
      </c>
    </row>
    <row r="110" spans="1:15" x14ac:dyDescent="0.2">
      <c r="A110" s="6" t="s">
        <v>376</v>
      </c>
      <c r="B110" s="6" t="s">
        <v>377</v>
      </c>
      <c r="C110" s="6" t="s">
        <v>49</v>
      </c>
      <c r="D110" s="7">
        <v>1141.168674698795</v>
      </c>
      <c r="E110" s="7">
        <v>83</v>
      </c>
      <c r="F110" s="7">
        <v>19.168591224018471</v>
      </c>
      <c r="G110" s="6" t="s">
        <v>260</v>
      </c>
      <c r="H110" s="6">
        <v>1</v>
      </c>
      <c r="I110" s="16">
        <v>-6.5043400140317491</v>
      </c>
      <c r="J110" s="16">
        <v>-6.5043400140317491</v>
      </c>
      <c r="K110" s="6" t="s">
        <v>58</v>
      </c>
      <c r="L110" s="6" t="s">
        <v>63</v>
      </c>
      <c r="M110" s="7">
        <v>257.79000000000002</v>
      </c>
      <c r="N110" s="6" t="s">
        <v>52</v>
      </c>
      <c r="O110" s="6">
        <v>0.50857624831309045</v>
      </c>
    </row>
    <row r="111" spans="1:15" x14ac:dyDescent="0.2">
      <c r="A111" s="6" t="s">
        <v>378</v>
      </c>
      <c r="B111" s="6" t="s">
        <v>379</v>
      </c>
      <c r="C111" s="6" t="s">
        <v>56</v>
      </c>
      <c r="D111" s="7">
        <v>799</v>
      </c>
      <c r="E111" s="7">
        <v>13</v>
      </c>
      <c r="F111" s="7">
        <v>3.0023094688221712</v>
      </c>
      <c r="G111" s="6" t="s">
        <v>267</v>
      </c>
      <c r="H111" s="6">
        <v>2</v>
      </c>
      <c r="I111" s="16">
        <v>3.8742415505207419</v>
      </c>
      <c r="J111" s="16">
        <v>3.8742415505207419</v>
      </c>
      <c r="K111" s="6" t="s">
        <v>58</v>
      </c>
      <c r="L111" s="6" t="s">
        <v>57</v>
      </c>
      <c r="M111" s="7">
        <v>239.7</v>
      </c>
      <c r="N111" s="6" t="s">
        <v>132</v>
      </c>
      <c r="O111" s="6"/>
    </row>
    <row r="112" spans="1:15" x14ac:dyDescent="0.2">
      <c r="A112" s="6" t="s">
        <v>168</v>
      </c>
      <c r="B112" s="6" t="s">
        <v>169</v>
      </c>
      <c r="C112" s="6" t="s">
        <v>56</v>
      </c>
      <c r="D112" s="7">
        <v>370.89439555349702</v>
      </c>
      <c r="E112" s="7">
        <v>2159</v>
      </c>
      <c r="F112" s="7">
        <v>498.61431870669747</v>
      </c>
      <c r="G112" s="6" t="s">
        <v>220</v>
      </c>
      <c r="H112" s="6">
        <v>2</v>
      </c>
      <c r="I112" s="16">
        <v>-1.263496507162335</v>
      </c>
      <c r="J112" s="16">
        <v>-1.263496507162335</v>
      </c>
      <c r="K112" s="6" t="s">
        <v>58</v>
      </c>
      <c r="L112" s="6" t="s">
        <v>63</v>
      </c>
      <c r="M112" s="7">
        <v>50.153500000000001</v>
      </c>
      <c r="N112" s="6" t="s">
        <v>52</v>
      </c>
      <c r="O112" s="6">
        <v>0.66407886117409931</v>
      </c>
    </row>
    <row r="113" spans="1:15" x14ac:dyDescent="0.2">
      <c r="A113" s="6" t="s">
        <v>380</v>
      </c>
      <c r="B113" s="6" t="s">
        <v>381</v>
      </c>
      <c r="C113" s="6" t="s">
        <v>56</v>
      </c>
      <c r="D113" s="7">
        <v>649</v>
      </c>
      <c r="E113" s="7">
        <v>49</v>
      </c>
      <c r="F113" s="7">
        <v>11.31639722863741</v>
      </c>
      <c r="G113" s="6" t="s">
        <v>267</v>
      </c>
      <c r="H113" s="6">
        <v>2</v>
      </c>
      <c r="I113" s="16">
        <v>-1.1477929874846471</v>
      </c>
      <c r="J113" s="16">
        <v>-1.1477929874846471</v>
      </c>
      <c r="K113" s="6" t="s">
        <v>58</v>
      </c>
      <c r="L113" s="6" t="s">
        <v>63</v>
      </c>
      <c r="M113" s="7">
        <v>194.7</v>
      </c>
      <c r="N113" s="6" t="s">
        <v>132</v>
      </c>
      <c r="O113" s="6">
        <v>0</v>
      </c>
    </row>
    <row r="114" spans="1:15" x14ac:dyDescent="0.2">
      <c r="A114" s="6" t="s">
        <v>382</v>
      </c>
      <c r="B114" s="6" t="s">
        <v>383</v>
      </c>
      <c r="C114" s="6" t="s">
        <v>56</v>
      </c>
      <c r="D114" s="7"/>
      <c r="E114" s="7"/>
      <c r="F114" s="7"/>
      <c r="G114" s="6"/>
      <c r="H114" s="6"/>
      <c r="I114" s="16"/>
      <c r="J114" s="16">
        <v>-1.08034578285814</v>
      </c>
      <c r="K114" s="6" t="s">
        <v>143</v>
      </c>
      <c r="L114" s="6" t="s">
        <v>50</v>
      </c>
      <c r="M114" s="7"/>
      <c r="N114" s="6" t="s">
        <v>132</v>
      </c>
      <c r="O114" s="6"/>
    </row>
    <row r="115" spans="1:15" x14ac:dyDescent="0.2">
      <c r="A115" s="6" t="s">
        <v>384</v>
      </c>
      <c r="B115" s="6" t="s">
        <v>385</v>
      </c>
      <c r="C115" s="6" t="s">
        <v>56</v>
      </c>
      <c r="D115" s="7"/>
      <c r="E115" s="7"/>
      <c r="F115" s="7"/>
      <c r="G115" s="6"/>
      <c r="H115" s="6">
        <v>2</v>
      </c>
      <c r="I115" s="16">
        <v>0.48508532092510093</v>
      </c>
      <c r="J115" s="16">
        <v>0.48508532092510093</v>
      </c>
      <c r="K115" s="6" t="s">
        <v>58</v>
      </c>
      <c r="L115" s="6" t="s">
        <v>63</v>
      </c>
      <c r="M115" s="7">
        <v>98.304000000000002</v>
      </c>
      <c r="N115" s="6" t="s">
        <v>52</v>
      </c>
      <c r="O115" s="6">
        <v>0.72933920704845812</v>
      </c>
    </row>
    <row r="116" spans="1:15" x14ac:dyDescent="0.2">
      <c r="A116" s="6" t="s">
        <v>386</v>
      </c>
      <c r="B116" s="6" t="s">
        <v>387</v>
      </c>
      <c r="C116" s="6" t="s">
        <v>56</v>
      </c>
      <c r="D116" s="7">
        <v>1799</v>
      </c>
      <c r="E116" s="7">
        <v>49</v>
      </c>
      <c r="F116" s="7">
        <v>11.31639722863741</v>
      </c>
      <c r="G116" s="6" t="s">
        <v>302</v>
      </c>
      <c r="H116" s="6">
        <v>1</v>
      </c>
      <c r="I116" s="16">
        <v>-10</v>
      </c>
      <c r="J116" s="16">
        <v>-10</v>
      </c>
      <c r="K116" s="6" t="s">
        <v>58</v>
      </c>
      <c r="L116" s="6" t="s">
        <v>63</v>
      </c>
      <c r="M116" s="7">
        <v>539.69999999999993</v>
      </c>
      <c r="N116" s="6" t="s">
        <v>132</v>
      </c>
      <c r="O116" s="6"/>
    </row>
    <row r="117" spans="1:15" x14ac:dyDescent="0.2">
      <c r="A117" s="6" t="s">
        <v>388</v>
      </c>
      <c r="B117" s="6" t="s">
        <v>389</v>
      </c>
      <c r="C117" s="6" t="s">
        <v>49</v>
      </c>
      <c r="D117" s="7"/>
      <c r="E117" s="7"/>
      <c r="F117" s="7"/>
      <c r="G117" s="6"/>
      <c r="H117" s="6"/>
      <c r="I117" s="16"/>
      <c r="J117" s="16">
        <v>-1.384113661892663</v>
      </c>
      <c r="K117" s="6" t="s">
        <v>143</v>
      </c>
      <c r="L117" s="6" t="s">
        <v>50</v>
      </c>
      <c r="M117" s="7"/>
      <c r="N117" s="6" t="s">
        <v>132</v>
      </c>
      <c r="O117" s="6"/>
    </row>
    <row r="118" spans="1:15" x14ac:dyDescent="0.2">
      <c r="A118" s="6" t="s">
        <v>390</v>
      </c>
      <c r="B118" s="6" t="s">
        <v>391</v>
      </c>
      <c r="C118" s="6" t="s">
        <v>49</v>
      </c>
      <c r="D118" s="7"/>
      <c r="E118" s="7"/>
      <c r="F118" s="7"/>
      <c r="G118" s="6"/>
      <c r="H118" s="6"/>
      <c r="I118" s="16"/>
      <c r="J118" s="16">
        <v>-1.384113661892663</v>
      </c>
      <c r="K118" s="6" t="s">
        <v>143</v>
      </c>
      <c r="L118" s="6" t="s">
        <v>50</v>
      </c>
      <c r="M118" s="7"/>
      <c r="N118" s="6" t="s">
        <v>132</v>
      </c>
      <c r="O118" s="6"/>
    </row>
    <row r="119" spans="1:15" x14ac:dyDescent="0.2">
      <c r="A119" s="6" t="s">
        <v>392</v>
      </c>
      <c r="B119" s="6" t="s">
        <v>393</v>
      </c>
      <c r="C119" s="6" t="s">
        <v>49</v>
      </c>
      <c r="D119" s="7">
        <v>0</v>
      </c>
      <c r="E119" s="7">
        <v>43</v>
      </c>
      <c r="F119" s="7">
        <v>9.930715935334872</v>
      </c>
      <c r="G119" s="6" t="s">
        <v>247</v>
      </c>
      <c r="H119" s="6"/>
      <c r="I119" s="16"/>
      <c r="J119" s="16">
        <v>-1.384113661892663</v>
      </c>
      <c r="K119" s="6" t="s">
        <v>143</v>
      </c>
      <c r="L119" s="6" t="s">
        <v>50</v>
      </c>
      <c r="M119" s="7">
        <v>0</v>
      </c>
      <c r="N119" s="6" t="s">
        <v>132</v>
      </c>
      <c r="O119" s="6"/>
    </row>
    <row r="120" spans="1:15" x14ac:dyDescent="0.2">
      <c r="A120" s="6" t="s">
        <v>394</v>
      </c>
      <c r="B120" s="6" t="s">
        <v>395</v>
      </c>
      <c r="C120" s="6" t="s">
        <v>49</v>
      </c>
      <c r="D120" s="7">
        <v>0</v>
      </c>
      <c r="E120" s="7">
        <v>46</v>
      </c>
      <c r="F120" s="7">
        <v>10.62355658198614</v>
      </c>
      <c r="G120" s="6" t="s">
        <v>247</v>
      </c>
      <c r="H120" s="6"/>
      <c r="I120" s="16"/>
      <c r="J120" s="16">
        <v>-1.384113661892663</v>
      </c>
      <c r="K120" s="6" t="s">
        <v>143</v>
      </c>
      <c r="L120" s="6" t="s">
        <v>50</v>
      </c>
      <c r="M120" s="7">
        <v>0</v>
      </c>
      <c r="N120" s="6" t="s">
        <v>132</v>
      </c>
      <c r="O120" s="6"/>
    </row>
    <row r="121" spans="1:15" x14ac:dyDescent="0.2">
      <c r="A121" s="6" t="s">
        <v>396</v>
      </c>
      <c r="B121" s="6" t="s">
        <v>397</v>
      </c>
      <c r="C121" s="6" t="s">
        <v>56</v>
      </c>
      <c r="D121" s="7"/>
      <c r="E121" s="7"/>
      <c r="F121" s="7"/>
      <c r="G121" s="6"/>
      <c r="H121" s="6"/>
      <c r="I121" s="16"/>
      <c r="J121" s="16">
        <v>-1.08034578285814</v>
      </c>
      <c r="K121" s="6" t="s">
        <v>143</v>
      </c>
      <c r="L121" s="6" t="s">
        <v>50</v>
      </c>
      <c r="M121" s="7">
        <v>250</v>
      </c>
      <c r="N121" s="6" t="s">
        <v>52</v>
      </c>
      <c r="O121" s="6">
        <v>0.90530303030303028</v>
      </c>
    </row>
    <row r="122" spans="1:15" x14ac:dyDescent="0.2">
      <c r="A122" s="6" t="s">
        <v>398</v>
      </c>
      <c r="B122" s="6" t="s">
        <v>399</v>
      </c>
      <c r="C122" s="6" t="s">
        <v>56</v>
      </c>
      <c r="D122" s="7">
        <v>149</v>
      </c>
      <c r="E122" s="7">
        <v>45</v>
      </c>
      <c r="F122" s="7">
        <v>10.39260969976905</v>
      </c>
      <c r="G122" s="6" t="s">
        <v>247</v>
      </c>
      <c r="H122" s="6">
        <v>3</v>
      </c>
      <c r="I122" s="16">
        <v>-1.346215034857899</v>
      </c>
      <c r="J122" s="16">
        <v>-1.346215034857899</v>
      </c>
      <c r="K122" s="6" t="s">
        <v>58</v>
      </c>
      <c r="L122" s="6" t="s">
        <v>57</v>
      </c>
      <c r="M122" s="7">
        <v>18.649999999999999</v>
      </c>
      <c r="N122" s="6" t="s">
        <v>52</v>
      </c>
      <c r="O122" s="6">
        <v>0.8631534283774609</v>
      </c>
    </row>
    <row r="123" spans="1:15" x14ac:dyDescent="0.2">
      <c r="A123" s="6" t="s">
        <v>170</v>
      </c>
      <c r="B123" s="6" t="s">
        <v>171</v>
      </c>
      <c r="C123" s="6" t="s">
        <v>56</v>
      </c>
      <c r="D123" s="7">
        <v>133.21818181818179</v>
      </c>
      <c r="E123" s="7">
        <v>275</v>
      </c>
      <c r="F123" s="7">
        <v>63.510392609699771</v>
      </c>
      <c r="G123" s="6" t="s">
        <v>247</v>
      </c>
      <c r="H123" s="6">
        <v>2</v>
      </c>
      <c r="I123" s="16">
        <v>0.20677199009892061</v>
      </c>
      <c r="J123" s="16">
        <v>0.20677199009892061</v>
      </c>
      <c r="K123" s="6" t="s">
        <v>58</v>
      </c>
      <c r="L123" s="6" t="s">
        <v>63</v>
      </c>
      <c r="M123" s="7">
        <v>7.291666666666667</v>
      </c>
      <c r="N123" s="6" t="s">
        <v>52</v>
      </c>
      <c r="O123" s="6">
        <v>0.91258048538880632</v>
      </c>
    </row>
    <row r="124" spans="1:15" x14ac:dyDescent="0.2">
      <c r="A124" s="6" t="s">
        <v>400</v>
      </c>
      <c r="B124" s="6" t="s">
        <v>401</v>
      </c>
      <c r="C124" s="6" t="s">
        <v>56</v>
      </c>
      <c r="D124" s="7"/>
      <c r="E124" s="7"/>
      <c r="F124" s="7"/>
      <c r="G124" s="6"/>
      <c r="H124" s="6"/>
      <c r="I124" s="16"/>
      <c r="J124" s="16">
        <v>-1.08034578285814</v>
      </c>
      <c r="K124" s="6" t="s">
        <v>143</v>
      </c>
      <c r="L124" s="6" t="s">
        <v>50</v>
      </c>
      <c r="M124" s="7">
        <v>176.81666666666669</v>
      </c>
      <c r="N124" s="6" t="s">
        <v>52</v>
      </c>
      <c r="O124" s="6">
        <v>0.6789896907216495</v>
      </c>
    </row>
    <row r="125" spans="1:15" x14ac:dyDescent="0.2">
      <c r="A125" s="6" t="s">
        <v>172</v>
      </c>
      <c r="B125" s="6" t="s">
        <v>173</v>
      </c>
      <c r="C125" s="6" t="s">
        <v>56</v>
      </c>
      <c r="D125" s="7">
        <v>142.05987850737631</v>
      </c>
      <c r="E125" s="7">
        <v>3457</v>
      </c>
      <c r="F125" s="7">
        <v>798.38337182448038</v>
      </c>
      <c r="G125" s="6" t="s">
        <v>247</v>
      </c>
      <c r="H125" s="6">
        <v>3</v>
      </c>
      <c r="I125" s="16">
        <v>0.75247043742545516</v>
      </c>
      <c r="J125" s="16">
        <v>0.75247043742545516</v>
      </c>
      <c r="K125" s="6" t="s">
        <v>58</v>
      </c>
      <c r="L125" s="6" t="s">
        <v>57</v>
      </c>
      <c r="M125" s="7">
        <v>10.103943089430899</v>
      </c>
      <c r="N125" s="6" t="s">
        <v>52</v>
      </c>
      <c r="O125" s="6">
        <v>0.85446820391538558</v>
      </c>
    </row>
    <row r="126" spans="1:15" x14ac:dyDescent="0.2">
      <c r="A126" s="6" t="s">
        <v>402</v>
      </c>
      <c r="B126" s="6" t="s">
        <v>403</v>
      </c>
      <c r="C126" s="6" t="s">
        <v>49</v>
      </c>
      <c r="D126" s="7"/>
      <c r="E126" s="7"/>
      <c r="F126" s="7"/>
      <c r="G126" s="6"/>
      <c r="H126" s="6">
        <v>1</v>
      </c>
      <c r="I126" s="16">
        <v>-1.803508764745043</v>
      </c>
      <c r="J126" s="16">
        <v>-1.803508764745043</v>
      </c>
      <c r="K126" s="6" t="s">
        <v>58</v>
      </c>
      <c r="L126" s="6" t="s">
        <v>63</v>
      </c>
      <c r="M126" s="7"/>
      <c r="N126" s="6" t="s">
        <v>132</v>
      </c>
      <c r="O126" s="6"/>
    </row>
    <row r="127" spans="1:15" x14ac:dyDescent="0.2">
      <c r="A127" s="6" t="s">
        <v>404</v>
      </c>
      <c r="B127" s="6" t="s">
        <v>405</v>
      </c>
      <c r="C127" s="6" t="s">
        <v>56</v>
      </c>
      <c r="D127" s="7">
        <v>159</v>
      </c>
      <c r="E127" s="7">
        <v>13</v>
      </c>
      <c r="F127" s="7">
        <v>3.0023094688221712</v>
      </c>
      <c r="G127" s="6" t="s">
        <v>247</v>
      </c>
      <c r="H127" s="6">
        <v>1</v>
      </c>
      <c r="I127" s="16">
        <v>0.85405286456505414</v>
      </c>
      <c r="J127" s="16">
        <v>0.85405286456505414</v>
      </c>
      <c r="K127" s="6" t="s">
        <v>58</v>
      </c>
      <c r="L127" s="6" t="s">
        <v>63</v>
      </c>
      <c r="M127" s="7">
        <v>47.7</v>
      </c>
      <c r="N127" s="6" t="s">
        <v>132</v>
      </c>
      <c r="O127" s="6"/>
    </row>
    <row r="128" spans="1:15" x14ac:dyDescent="0.2">
      <c r="A128" s="6" t="s">
        <v>406</v>
      </c>
      <c r="B128" s="6" t="s">
        <v>407</v>
      </c>
      <c r="C128" s="6" t="s">
        <v>56</v>
      </c>
      <c r="D128" s="7">
        <v>560.11111111111109</v>
      </c>
      <c r="E128" s="7">
        <v>36</v>
      </c>
      <c r="F128" s="7">
        <v>8.3140877598152425</v>
      </c>
      <c r="G128" s="6" t="s">
        <v>220</v>
      </c>
      <c r="H128" s="6">
        <v>2</v>
      </c>
      <c r="I128" s="16">
        <v>-1.348274842353993</v>
      </c>
      <c r="J128" s="16">
        <v>-1.348274842353993</v>
      </c>
      <c r="K128" s="6" t="s">
        <v>58</v>
      </c>
      <c r="L128" s="6" t="s">
        <v>63</v>
      </c>
      <c r="M128" s="7">
        <v>8.31</v>
      </c>
      <c r="N128" s="6" t="s">
        <v>52</v>
      </c>
      <c r="O128" s="6"/>
    </row>
    <row r="129" spans="1:15" x14ac:dyDescent="0.2">
      <c r="A129" s="6" t="s">
        <v>174</v>
      </c>
      <c r="B129" s="6" t="s">
        <v>175</v>
      </c>
      <c r="C129" s="6" t="s">
        <v>56</v>
      </c>
      <c r="D129" s="7">
        <v>133.25474452554741</v>
      </c>
      <c r="E129" s="7">
        <v>1370</v>
      </c>
      <c r="F129" s="7">
        <v>316.39722863741338</v>
      </c>
      <c r="G129" s="6" t="s">
        <v>247</v>
      </c>
      <c r="H129" s="6">
        <v>3</v>
      </c>
      <c r="I129" s="16">
        <v>-1.103693837988786</v>
      </c>
      <c r="J129" s="16">
        <v>-1.103693837988786</v>
      </c>
      <c r="K129" s="6" t="s">
        <v>58</v>
      </c>
      <c r="L129" s="6" t="s">
        <v>57</v>
      </c>
      <c r="M129" s="7">
        <v>18.228285714285711</v>
      </c>
      <c r="N129" s="6" t="s">
        <v>52</v>
      </c>
      <c r="O129" s="6">
        <v>0.72919641096430687</v>
      </c>
    </row>
    <row r="130" spans="1:15" x14ac:dyDescent="0.2">
      <c r="A130" s="6" t="s">
        <v>408</v>
      </c>
      <c r="B130" s="6" t="s">
        <v>409</v>
      </c>
      <c r="C130" s="6" t="s">
        <v>49</v>
      </c>
      <c r="D130" s="7">
        <v>850</v>
      </c>
      <c r="E130" s="7">
        <v>117</v>
      </c>
      <c r="F130" s="7">
        <v>27.020785219399539</v>
      </c>
      <c r="G130" s="6" t="s">
        <v>267</v>
      </c>
      <c r="H130" s="6"/>
      <c r="I130" s="16"/>
      <c r="J130" s="16">
        <v>-2.6197664336783242</v>
      </c>
      <c r="K130" s="6" t="s">
        <v>51</v>
      </c>
      <c r="L130" s="6" t="s">
        <v>50</v>
      </c>
      <c r="M130" s="7">
        <v>38.31</v>
      </c>
      <c r="N130" s="6" t="s">
        <v>52</v>
      </c>
      <c r="O130" s="6">
        <v>0.73782055168232807</v>
      </c>
    </row>
    <row r="131" spans="1:15" x14ac:dyDescent="0.2">
      <c r="A131" s="6" t="s">
        <v>69</v>
      </c>
      <c r="B131" s="6" t="s">
        <v>70</v>
      </c>
      <c r="C131" s="6" t="s">
        <v>56</v>
      </c>
      <c r="D131" s="7">
        <v>303.10192214504929</v>
      </c>
      <c r="E131" s="7">
        <v>6191</v>
      </c>
      <c r="F131" s="7">
        <v>1429.792147806005</v>
      </c>
      <c r="G131" s="6" t="s">
        <v>220</v>
      </c>
      <c r="H131" s="6">
        <v>1</v>
      </c>
      <c r="I131" s="16">
        <v>-2.8740065288678922</v>
      </c>
      <c r="J131" s="16">
        <v>-2.8740065288678922</v>
      </c>
      <c r="K131" s="6" t="s">
        <v>58</v>
      </c>
      <c r="L131" s="6" t="s">
        <v>63</v>
      </c>
      <c r="M131" s="7">
        <v>35.700013157894738</v>
      </c>
      <c r="N131" s="6" t="s">
        <v>52</v>
      </c>
      <c r="O131" s="6">
        <v>0.80778104829171027</v>
      </c>
    </row>
    <row r="132" spans="1:15" x14ac:dyDescent="0.2">
      <c r="A132" s="6" t="s">
        <v>133</v>
      </c>
      <c r="B132" s="6" t="s">
        <v>134</v>
      </c>
      <c r="C132" s="6" t="s">
        <v>56</v>
      </c>
      <c r="D132" s="7">
        <v>145.65637065637071</v>
      </c>
      <c r="E132" s="7">
        <v>518</v>
      </c>
      <c r="F132" s="7">
        <v>119.63048498845269</v>
      </c>
      <c r="G132" s="6" t="s">
        <v>247</v>
      </c>
      <c r="H132" s="6">
        <v>2</v>
      </c>
      <c r="I132" s="16">
        <v>-0.63314010997159254</v>
      </c>
      <c r="J132" s="16">
        <v>-0.63314010997159254</v>
      </c>
      <c r="K132" s="6" t="s">
        <v>58</v>
      </c>
      <c r="L132" s="6" t="s">
        <v>57</v>
      </c>
      <c r="M132" s="7">
        <v>14.39</v>
      </c>
      <c r="N132" s="6" t="s">
        <v>52</v>
      </c>
      <c r="O132" s="6">
        <v>0.59080321285140569</v>
      </c>
    </row>
    <row r="133" spans="1:15" x14ac:dyDescent="0.2">
      <c r="A133" s="6" t="s">
        <v>114</v>
      </c>
      <c r="B133" s="6" t="s">
        <v>115</v>
      </c>
      <c r="C133" s="6" t="s">
        <v>56</v>
      </c>
      <c r="D133" s="7">
        <v>132.46422893481721</v>
      </c>
      <c r="E133" s="7">
        <v>629</v>
      </c>
      <c r="F133" s="7">
        <v>145.26558891454971</v>
      </c>
      <c r="G133" s="6" t="s">
        <v>247</v>
      </c>
      <c r="H133" s="6">
        <v>4</v>
      </c>
      <c r="I133" s="16">
        <v>-0.37837638686802072</v>
      </c>
      <c r="J133" s="16">
        <v>-0.37837638686802072</v>
      </c>
      <c r="K133" s="6" t="s">
        <v>58</v>
      </c>
      <c r="L133" s="6" t="s">
        <v>63</v>
      </c>
      <c r="M133" s="7">
        <v>33.259310344827583</v>
      </c>
      <c r="N133" s="6" t="s">
        <v>52</v>
      </c>
      <c r="O133" s="6">
        <v>0.72885846438482882</v>
      </c>
    </row>
    <row r="134" spans="1:15" x14ac:dyDescent="0.2">
      <c r="A134" s="6" t="s">
        <v>118</v>
      </c>
      <c r="B134" s="6" t="s">
        <v>119</v>
      </c>
      <c r="C134" s="6" t="s">
        <v>49</v>
      </c>
      <c r="D134" s="7">
        <v>449</v>
      </c>
      <c r="E134" s="7">
        <v>706</v>
      </c>
      <c r="F134" s="7">
        <v>163.04849884526561</v>
      </c>
      <c r="G134" s="6" t="s">
        <v>220</v>
      </c>
      <c r="H134" s="6"/>
      <c r="I134" s="16"/>
      <c r="J134" s="16">
        <v>-0.79078567053692428</v>
      </c>
      <c r="K134" s="6" t="s">
        <v>51</v>
      </c>
      <c r="L134" s="6" t="s">
        <v>50</v>
      </c>
      <c r="M134" s="7">
        <v>44.39</v>
      </c>
      <c r="N134" s="6" t="s">
        <v>52</v>
      </c>
      <c r="O134" s="6">
        <v>0.85634954036991917</v>
      </c>
    </row>
    <row r="135" spans="1:15" x14ac:dyDescent="0.2">
      <c r="A135" s="6" t="s">
        <v>410</v>
      </c>
      <c r="B135" s="6" t="s">
        <v>411</v>
      </c>
      <c r="C135" s="6" t="s">
        <v>56</v>
      </c>
      <c r="D135" s="7">
        <v>499</v>
      </c>
      <c r="E135" s="7">
        <v>11</v>
      </c>
      <c r="F135" s="7">
        <v>2.5404157043879909</v>
      </c>
      <c r="G135" s="6" t="s">
        <v>220</v>
      </c>
      <c r="H135" s="6">
        <v>1</v>
      </c>
      <c r="I135" s="16">
        <v>1.115060489460957</v>
      </c>
      <c r="J135" s="16">
        <v>1.115060489460957</v>
      </c>
      <c r="K135" s="6" t="s">
        <v>58</v>
      </c>
      <c r="L135" s="6" t="s">
        <v>63</v>
      </c>
      <c r="M135" s="7">
        <v>59.273333333333333</v>
      </c>
      <c r="N135" s="6" t="s">
        <v>52</v>
      </c>
      <c r="O135" s="6">
        <v>0.6162548015364917</v>
      </c>
    </row>
    <row r="136" spans="1:15" x14ac:dyDescent="0.2">
      <c r="A136" s="6" t="s">
        <v>412</v>
      </c>
      <c r="B136" s="6" t="s">
        <v>413</v>
      </c>
      <c r="C136" s="6" t="s">
        <v>56</v>
      </c>
      <c r="D136" s="7">
        <v>649</v>
      </c>
      <c r="E136" s="7">
        <v>15</v>
      </c>
      <c r="F136" s="7">
        <v>3.464203233256351</v>
      </c>
      <c r="G136" s="6" t="s">
        <v>267</v>
      </c>
      <c r="H136" s="6"/>
      <c r="I136" s="16"/>
      <c r="J136" s="16">
        <v>-2.3697537837821541</v>
      </c>
      <c r="K136" s="6" t="s">
        <v>51</v>
      </c>
      <c r="L136" s="6" t="s">
        <v>50</v>
      </c>
      <c r="M136" s="7">
        <v>194.7</v>
      </c>
      <c r="N136" s="6" t="s">
        <v>132</v>
      </c>
      <c r="O136" s="6"/>
    </row>
    <row r="137" spans="1:15" x14ac:dyDescent="0.2">
      <c r="A137" s="6" t="s">
        <v>414</v>
      </c>
      <c r="B137" s="6" t="s">
        <v>415</v>
      </c>
      <c r="C137" s="6" t="s">
        <v>56</v>
      </c>
      <c r="D137" s="7">
        <v>148.6548672566372</v>
      </c>
      <c r="E137" s="7">
        <v>113</v>
      </c>
      <c r="F137" s="7">
        <v>26.096997690531179</v>
      </c>
      <c r="G137" s="6" t="s">
        <v>247</v>
      </c>
      <c r="H137" s="6">
        <v>5</v>
      </c>
      <c r="I137" s="16">
        <v>-4.2238658195228487</v>
      </c>
      <c r="J137" s="16">
        <v>-4.2238658195228487</v>
      </c>
      <c r="K137" s="6" t="s">
        <v>58</v>
      </c>
      <c r="L137" s="6" t="s">
        <v>57</v>
      </c>
      <c r="M137" s="7">
        <v>10</v>
      </c>
      <c r="N137" s="6" t="s">
        <v>52</v>
      </c>
      <c r="O137" s="6">
        <v>0.93055555555555558</v>
      </c>
    </row>
    <row r="138" spans="1:15" x14ac:dyDescent="0.2">
      <c r="A138" s="6" t="s">
        <v>416</v>
      </c>
      <c r="B138" s="6" t="s">
        <v>417</v>
      </c>
      <c r="C138" s="6" t="s">
        <v>56</v>
      </c>
      <c r="D138" s="7">
        <v>90.569892473118273</v>
      </c>
      <c r="E138" s="7">
        <v>93</v>
      </c>
      <c r="F138" s="7">
        <v>21.47806004618938</v>
      </c>
      <c r="G138" s="6" t="s">
        <v>247</v>
      </c>
      <c r="H138" s="6">
        <v>6</v>
      </c>
      <c r="I138" s="16">
        <v>0.7321297222027634</v>
      </c>
      <c r="J138" s="16">
        <v>0.7321297222027634</v>
      </c>
      <c r="K138" s="6" t="s">
        <v>58</v>
      </c>
      <c r="L138" s="6" t="s">
        <v>57</v>
      </c>
      <c r="M138" s="7">
        <v>32</v>
      </c>
      <c r="N138" s="6" t="s">
        <v>52</v>
      </c>
      <c r="O138" s="6">
        <v>0.75733063700707781</v>
      </c>
    </row>
    <row r="139" spans="1:15" x14ac:dyDescent="0.2">
      <c r="A139" s="6" t="s">
        <v>67</v>
      </c>
      <c r="B139" s="6" t="s">
        <v>68</v>
      </c>
      <c r="C139" s="6" t="s">
        <v>56</v>
      </c>
      <c r="D139" s="7">
        <v>363.08371040723978</v>
      </c>
      <c r="E139" s="7">
        <v>884</v>
      </c>
      <c r="F139" s="7">
        <v>204.1570438799076</v>
      </c>
      <c r="G139" s="6" t="s">
        <v>220</v>
      </c>
      <c r="H139" s="6">
        <v>1</v>
      </c>
      <c r="I139" s="16">
        <v>-10</v>
      </c>
      <c r="J139" s="16">
        <v>-10</v>
      </c>
      <c r="K139" s="6" t="s">
        <v>58</v>
      </c>
      <c r="L139" s="6" t="s">
        <v>63</v>
      </c>
      <c r="M139" s="7">
        <v>31.75682926829268</v>
      </c>
      <c r="N139" s="6" t="s">
        <v>52</v>
      </c>
      <c r="O139" s="6">
        <v>0.82191062837148265</v>
      </c>
    </row>
    <row r="140" spans="1:15" x14ac:dyDescent="0.2">
      <c r="A140" s="6" t="s">
        <v>418</v>
      </c>
      <c r="B140" s="6" t="s">
        <v>419</v>
      </c>
      <c r="C140" s="6" t="s">
        <v>56</v>
      </c>
      <c r="D140" s="7">
        <v>399</v>
      </c>
      <c r="E140" s="7">
        <v>11</v>
      </c>
      <c r="F140" s="7">
        <v>2.5404157043879909</v>
      </c>
      <c r="G140" s="6" t="s">
        <v>220</v>
      </c>
      <c r="H140" s="6"/>
      <c r="I140" s="16"/>
      <c r="J140" s="16">
        <v>-1.273147819780216</v>
      </c>
      <c r="K140" s="6" t="s">
        <v>51</v>
      </c>
      <c r="L140" s="6" t="s">
        <v>50</v>
      </c>
      <c r="M140" s="7">
        <v>119.7</v>
      </c>
      <c r="N140" s="6" t="s">
        <v>132</v>
      </c>
      <c r="O140" s="6"/>
    </row>
    <row r="141" spans="1:15" x14ac:dyDescent="0.2">
      <c r="A141" s="6" t="s">
        <v>420</v>
      </c>
      <c r="B141" s="6" t="s">
        <v>421</v>
      </c>
      <c r="C141" s="6" t="s">
        <v>56</v>
      </c>
      <c r="D141" s="7"/>
      <c r="E141" s="7"/>
      <c r="F141" s="7"/>
      <c r="G141" s="6"/>
      <c r="H141" s="6"/>
      <c r="I141" s="16"/>
      <c r="J141" s="16">
        <v>-1.08034578285814</v>
      </c>
      <c r="K141" s="6" t="s">
        <v>143</v>
      </c>
      <c r="L141" s="6" t="s">
        <v>50</v>
      </c>
      <c r="M141" s="7">
        <v>177.2</v>
      </c>
      <c r="N141" s="6" t="s">
        <v>52</v>
      </c>
      <c r="O141" s="6">
        <v>0.83091603053435115</v>
      </c>
    </row>
    <row r="142" spans="1:15" x14ac:dyDescent="0.2">
      <c r="A142" s="6" t="s">
        <v>100</v>
      </c>
      <c r="B142" s="6" t="s">
        <v>101</v>
      </c>
      <c r="C142" s="6" t="s">
        <v>49</v>
      </c>
      <c r="D142" s="7">
        <v>961.41134751773052</v>
      </c>
      <c r="E142" s="7">
        <v>282</v>
      </c>
      <c r="F142" s="7">
        <v>65.127020785219401</v>
      </c>
      <c r="G142" s="6" t="s">
        <v>267</v>
      </c>
      <c r="H142" s="6">
        <v>1</v>
      </c>
      <c r="I142" s="16">
        <v>-3.3778008215263711</v>
      </c>
      <c r="J142" s="16">
        <v>-3.3778008215263711</v>
      </c>
      <c r="K142" s="6" t="s">
        <v>58</v>
      </c>
      <c r="L142" s="6" t="s">
        <v>63</v>
      </c>
      <c r="M142" s="7">
        <v>222.54777777777781</v>
      </c>
      <c r="N142" s="6" t="s">
        <v>52</v>
      </c>
      <c r="O142" s="6">
        <v>0.68347224116764427</v>
      </c>
    </row>
    <row r="143" spans="1:15" x14ac:dyDescent="0.2">
      <c r="A143" s="6" t="s">
        <v>422</v>
      </c>
      <c r="B143" s="6" t="s">
        <v>423</v>
      </c>
      <c r="C143" s="6" t="s">
        <v>56</v>
      </c>
      <c r="D143" s="7">
        <v>2499</v>
      </c>
      <c r="E143" s="7">
        <v>24</v>
      </c>
      <c r="F143" s="7">
        <v>5.5427251732101617</v>
      </c>
      <c r="G143" s="6" t="s">
        <v>302</v>
      </c>
      <c r="H143" s="6">
        <v>3</v>
      </c>
      <c r="I143" s="16">
        <v>-0.8083753123828562</v>
      </c>
      <c r="J143" s="16">
        <v>-0.8083753123828562</v>
      </c>
      <c r="K143" s="6" t="s">
        <v>58</v>
      </c>
      <c r="L143" s="6" t="s">
        <v>57</v>
      </c>
      <c r="M143" s="7">
        <v>327.60000000000002</v>
      </c>
      <c r="N143" s="6" t="s">
        <v>52</v>
      </c>
      <c r="O143" s="6">
        <v>0.82392776523702027</v>
      </c>
    </row>
    <row r="144" spans="1:15" x14ac:dyDescent="0.2">
      <c r="A144" s="6" t="s">
        <v>424</v>
      </c>
      <c r="B144" s="6" t="s">
        <v>425</v>
      </c>
      <c r="C144" s="6" t="s">
        <v>56</v>
      </c>
      <c r="D144" s="7">
        <v>399</v>
      </c>
      <c r="E144" s="7">
        <v>83</v>
      </c>
      <c r="F144" s="7">
        <v>19.168591224018471</v>
      </c>
      <c r="G144" s="6" t="s">
        <v>220</v>
      </c>
      <c r="H144" s="6"/>
      <c r="I144" s="16"/>
      <c r="J144" s="16">
        <v>-1.273147819780216</v>
      </c>
      <c r="K144" s="6" t="s">
        <v>51</v>
      </c>
      <c r="L144" s="6" t="s">
        <v>50</v>
      </c>
      <c r="M144" s="7">
        <v>35.200000000000003</v>
      </c>
      <c r="N144" s="6" t="s">
        <v>52</v>
      </c>
      <c r="O144" s="6">
        <v>0.91960848287112562</v>
      </c>
    </row>
    <row r="145" spans="1:15" x14ac:dyDescent="0.2">
      <c r="A145" s="6" t="s">
        <v>176</v>
      </c>
      <c r="B145" s="6" t="s">
        <v>177</v>
      </c>
      <c r="C145" s="6" t="s">
        <v>56</v>
      </c>
      <c r="D145" s="7">
        <v>185.53159851301109</v>
      </c>
      <c r="E145" s="7">
        <v>269</v>
      </c>
      <c r="F145" s="7">
        <v>62.124711316397217</v>
      </c>
      <c r="G145" s="6" t="s">
        <v>247</v>
      </c>
      <c r="H145" s="6">
        <v>3</v>
      </c>
      <c r="I145" s="16">
        <v>-1.3563085569661959</v>
      </c>
      <c r="J145" s="16">
        <v>-1.3563085569661959</v>
      </c>
      <c r="K145" s="6" t="s">
        <v>58</v>
      </c>
      <c r="L145" s="6" t="s">
        <v>57</v>
      </c>
      <c r="M145" s="7">
        <v>35.200000000000003</v>
      </c>
      <c r="N145" s="6" t="s">
        <v>52</v>
      </c>
      <c r="O145" s="6">
        <v>0.8222222222222223</v>
      </c>
    </row>
    <row r="146" spans="1:15" x14ac:dyDescent="0.2">
      <c r="A146" s="6" t="s">
        <v>426</v>
      </c>
      <c r="B146" s="6" t="s">
        <v>426</v>
      </c>
      <c r="C146" s="6" t="s">
        <v>56</v>
      </c>
      <c r="D146" s="7"/>
      <c r="E146" s="7"/>
      <c r="F146" s="7"/>
      <c r="G146" s="6"/>
      <c r="H146" s="6"/>
      <c r="I146" s="16"/>
      <c r="J146" s="16">
        <v>-1.08034578285814</v>
      </c>
      <c r="K146" s="6" t="s">
        <v>143</v>
      </c>
      <c r="L146" s="6" t="s">
        <v>50</v>
      </c>
      <c r="M146" s="7">
        <v>65</v>
      </c>
      <c r="N146" s="6" t="s">
        <v>52</v>
      </c>
      <c r="O146" s="6"/>
    </row>
    <row r="147" spans="1:15" x14ac:dyDescent="0.2">
      <c r="A147" s="6" t="s">
        <v>427</v>
      </c>
      <c r="B147" s="6" t="s">
        <v>428</v>
      </c>
      <c r="C147" s="6" t="s">
        <v>49</v>
      </c>
      <c r="D147" s="7"/>
      <c r="E147" s="7"/>
      <c r="F147" s="7"/>
      <c r="G147" s="6"/>
      <c r="H147" s="6"/>
      <c r="I147" s="16"/>
      <c r="J147" s="16">
        <v>-1.384113661892663</v>
      </c>
      <c r="K147" s="6" t="s">
        <v>143</v>
      </c>
      <c r="L147" s="6" t="s">
        <v>50</v>
      </c>
      <c r="M147" s="7">
        <v>425.41</v>
      </c>
      <c r="N147" s="6" t="s">
        <v>52</v>
      </c>
      <c r="O147" s="6">
        <v>0.69786221590909081</v>
      </c>
    </row>
    <row r="148" spans="1:15" x14ac:dyDescent="0.2">
      <c r="A148" s="6" t="s">
        <v>429</v>
      </c>
      <c r="B148" s="6" t="s">
        <v>430</v>
      </c>
      <c r="C148" s="6" t="s">
        <v>49</v>
      </c>
      <c r="D148" s="7">
        <v>399</v>
      </c>
      <c r="E148" s="7">
        <v>84</v>
      </c>
      <c r="F148" s="7">
        <v>19.399538106235561</v>
      </c>
      <c r="G148" s="6" t="s">
        <v>220</v>
      </c>
      <c r="H148" s="6"/>
      <c r="I148" s="16"/>
      <c r="J148" s="16">
        <v>-0.79078567053692428</v>
      </c>
      <c r="K148" s="6" t="s">
        <v>51</v>
      </c>
      <c r="L148" s="6" t="s">
        <v>50</v>
      </c>
      <c r="M148" s="7">
        <v>136</v>
      </c>
      <c r="N148" s="6" t="s">
        <v>52</v>
      </c>
      <c r="O148" s="6">
        <v>0.63705308775731306</v>
      </c>
    </row>
    <row r="149" spans="1:15" x14ac:dyDescent="0.2">
      <c r="A149" s="6" t="s">
        <v>431</v>
      </c>
      <c r="B149" s="6" t="s">
        <v>432</v>
      </c>
      <c r="C149" s="6" t="s">
        <v>56</v>
      </c>
      <c r="D149" s="7"/>
      <c r="E149" s="7"/>
      <c r="F149" s="7"/>
      <c r="G149" s="6"/>
      <c r="H149" s="6"/>
      <c r="I149" s="16"/>
      <c r="J149" s="16">
        <v>-1.08034578285814</v>
      </c>
      <c r="K149" s="6" t="s">
        <v>143</v>
      </c>
      <c r="L149" s="6" t="s">
        <v>50</v>
      </c>
      <c r="M149" s="7">
        <v>84</v>
      </c>
      <c r="N149" s="6" t="s">
        <v>52</v>
      </c>
      <c r="O149" s="6">
        <v>0.8424015009380863</v>
      </c>
    </row>
    <row r="150" spans="1:15" x14ac:dyDescent="0.2">
      <c r="A150" s="6" t="s">
        <v>433</v>
      </c>
      <c r="B150" s="6" t="s">
        <v>434</v>
      </c>
      <c r="C150" s="6" t="s">
        <v>56</v>
      </c>
      <c r="D150" s="7"/>
      <c r="E150" s="7"/>
      <c r="F150" s="7"/>
      <c r="G150" s="6"/>
      <c r="H150" s="6"/>
      <c r="I150" s="16"/>
      <c r="J150" s="16">
        <v>-1.08034578285814</v>
      </c>
      <c r="K150" s="6" t="s">
        <v>143</v>
      </c>
      <c r="L150" s="6" t="s">
        <v>50</v>
      </c>
      <c r="M150" s="7">
        <v>167.13566666666671</v>
      </c>
      <c r="N150" s="6" t="s">
        <v>52</v>
      </c>
      <c r="O150" s="6">
        <v>0.46743813064259149</v>
      </c>
    </row>
    <row r="151" spans="1:15" x14ac:dyDescent="0.2">
      <c r="A151" s="6" t="s">
        <v>435</v>
      </c>
      <c r="B151" s="6" t="s">
        <v>436</v>
      </c>
      <c r="C151" s="6" t="s">
        <v>56</v>
      </c>
      <c r="D151" s="7"/>
      <c r="E151" s="7"/>
      <c r="F151" s="7"/>
      <c r="G151" s="6"/>
      <c r="H151" s="6">
        <v>1</v>
      </c>
      <c r="I151" s="16">
        <v>0.78929836328082603</v>
      </c>
      <c r="J151" s="16">
        <v>0.78929836328082603</v>
      </c>
      <c r="K151" s="6" t="s">
        <v>58</v>
      </c>
      <c r="L151" s="6" t="s">
        <v>63</v>
      </c>
      <c r="M151" s="7"/>
      <c r="N151" s="6" t="s">
        <v>132</v>
      </c>
      <c r="O151" s="6">
        <v>0</v>
      </c>
    </row>
    <row r="152" spans="1:15" x14ac:dyDescent="0.2">
      <c r="A152" s="6" t="s">
        <v>437</v>
      </c>
      <c r="B152" s="6" t="s">
        <v>438</v>
      </c>
      <c r="C152" s="6" t="s">
        <v>56</v>
      </c>
      <c r="D152" s="7">
        <v>1099</v>
      </c>
      <c r="E152" s="7">
        <v>45</v>
      </c>
      <c r="F152" s="7">
        <v>10.39260969976905</v>
      </c>
      <c r="G152" s="6" t="s">
        <v>260</v>
      </c>
      <c r="H152" s="6">
        <v>1</v>
      </c>
      <c r="I152" s="16">
        <v>-10</v>
      </c>
      <c r="J152" s="16">
        <v>-10</v>
      </c>
      <c r="K152" s="6" t="s">
        <v>58</v>
      </c>
      <c r="L152" s="6" t="s">
        <v>63</v>
      </c>
      <c r="M152" s="7">
        <v>357.81818181818181</v>
      </c>
      <c r="N152" s="6" t="s">
        <v>52</v>
      </c>
      <c r="O152" s="6">
        <v>0.64816304639313493</v>
      </c>
    </row>
    <row r="153" spans="1:15" x14ac:dyDescent="0.2">
      <c r="A153" s="6" t="s">
        <v>439</v>
      </c>
      <c r="B153" s="6" t="s">
        <v>440</v>
      </c>
      <c r="C153" s="6" t="s">
        <v>56</v>
      </c>
      <c r="D153" s="7"/>
      <c r="E153" s="7"/>
      <c r="F153" s="7"/>
      <c r="G153" s="6"/>
      <c r="H153" s="6"/>
      <c r="I153" s="16"/>
      <c r="J153" s="16">
        <v>-1.08034578285814</v>
      </c>
      <c r="K153" s="6" t="s">
        <v>143</v>
      </c>
      <c r="L153" s="6" t="s">
        <v>50</v>
      </c>
      <c r="M153" s="7">
        <v>1402.24</v>
      </c>
      <c r="N153" s="6" t="s">
        <v>52</v>
      </c>
      <c r="O153" s="6">
        <v>0.25295486988031191</v>
      </c>
    </row>
    <row r="154" spans="1:15" x14ac:dyDescent="0.2">
      <c r="A154" s="6" t="s">
        <v>441</v>
      </c>
      <c r="B154" s="6" t="s">
        <v>442</v>
      </c>
      <c r="C154" s="6" t="s">
        <v>56</v>
      </c>
      <c r="D154" s="7">
        <v>1499</v>
      </c>
      <c r="E154" s="7">
        <v>13</v>
      </c>
      <c r="F154" s="7">
        <v>3.0023094688221712</v>
      </c>
      <c r="G154" s="6" t="s">
        <v>260</v>
      </c>
      <c r="H154" s="6">
        <v>1</v>
      </c>
      <c r="I154" s="16">
        <v>1.2067074491057601</v>
      </c>
      <c r="J154" s="16">
        <v>1.2067074491057601</v>
      </c>
      <c r="K154" s="6" t="s">
        <v>58</v>
      </c>
      <c r="L154" s="6" t="s">
        <v>63</v>
      </c>
      <c r="M154" s="7">
        <v>141.56399999999999</v>
      </c>
      <c r="N154" s="6" t="s">
        <v>52</v>
      </c>
      <c r="O154" s="6">
        <v>0.90945119611104008</v>
      </c>
    </row>
    <row r="155" spans="1:15" x14ac:dyDescent="0.2">
      <c r="A155" s="6" t="s">
        <v>76</v>
      </c>
      <c r="B155" s="6" t="s">
        <v>77</v>
      </c>
      <c r="C155" s="6" t="s">
        <v>56</v>
      </c>
      <c r="D155" s="7">
        <v>714.78550207961973</v>
      </c>
      <c r="E155" s="7">
        <v>1683</v>
      </c>
      <c r="F155" s="7">
        <v>388.68360277136259</v>
      </c>
      <c r="G155" s="6" t="s">
        <v>267</v>
      </c>
      <c r="H155" s="6">
        <v>2</v>
      </c>
      <c r="I155" s="16">
        <v>-3.6115594410919201</v>
      </c>
      <c r="J155" s="16">
        <v>-3.6115594410919201</v>
      </c>
      <c r="K155" s="6" t="s">
        <v>58</v>
      </c>
      <c r="L155" s="6" t="s">
        <v>63</v>
      </c>
      <c r="M155" s="7">
        <v>215.87881751824821</v>
      </c>
      <c r="N155" s="6" t="s">
        <v>52</v>
      </c>
      <c r="O155" s="6">
        <v>0.60693099137734385</v>
      </c>
    </row>
    <row r="156" spans="1:15" x14ac:dyDescent="0.2">
      <c r="A156" s="6" t="s">
        <v>443</v>
      </c>
      <c r="B156" s="6" t="s">
        <v>444</v>
      </c>
      <c r="C156" s="6" t="s">
        <v>49</v>
      </c>
      <c r="D156" s="7"/>
      <c r="E156" s="7"/>
      <c r="F156" s="7"/>
      <c r="G156" s="6"/>
      <c r="H156" s="6"/>
      <c r="I156" s="16"/>
      <c r="J156" s="16">
        <v>-1.384113661892663</v>
      </c>
      <c r="K156" s="6" t="s">
        <v>143</v>
      </c>
      <c r="L156" s="6" t="s">
        <v>50</v>
      </c>
      <c r="M156" s="7">
        <v>208.16</v>
      </c>
      <c r="N156" s="6" t="s">
        <v>52</v>
      </c>
      <c r="O156" s="6">
        <v>0.68949494949494949</v>
      </c>
    </row>
    <row r="157" spans="1:15" x14ac:dyDescent="0.2">
      <c r="A157" s="6" t="s">
        <v>445</v>
      </c>
      <c r="B157" s="6" t="s">
        <v>446</v>
      </c>
      <c r="C157" s="6" t="s">
        <v>49</v>
      </c>
      <c r="D157" s="7">
        <v>1599</v>
      </c>
      <c r="E157" s="7">
        <v>28</v>
      </c>
      <c r="F157" s="7">
        <v>6.4665127020785222</v>
      </c>
      <c r="G157" s="6" t="s">
        <v>302</v>
      </c>
      <c r="H157" s="6"/>
      <c r="I157" s="16"/>
      <c r="J157" s="16">
        <v>-1.384113661892663</v>
      </c>
      <c r="K157" s="6" t="s">
        <v>143</v>
      </c>
      <c r="L157" s="6" t="s">
        <v>50</v>
      </c>
      <c r="M157" s="7">
        <v>220.93</v>
      </c>
      <c r="N157" s="6" t="s">
        <v>52</v>
      </c>
      <c r="O157" s="6">
        <v>0.63811662198391417</v>
      </c>
    </row>
    <row r="158" spans="1:15" x14ac:dyDescent="0.2">
      <c r="A158" s="6" t="s">
        <v>447</v>
      </c>
      <c r="B158" s="6" t="s">
        <v>448</v>
      </c>
      <c r="C158" s="6" t="s">
        <v>49</v>
      </c>
      <c r="D158" s="7"/>
      <c r="E158" s="7"/>
      <c r="F158" s="7"/>
      <c r="G158" s="6"/>
      <c r="H158" s="6"/>
      <c r="I158" s="16"/>
      <c r="J158" s="16">
        <v>-1.384113661892663</v>
      </c>
      <c r="K158" s="6" t="s">
        <v>143</v>
      </c>
      <c r="L158" s="6" t="s">
        <v>50</v>
      </c>
      <c r="M158" s="7">
        <v>87.09</v>
      </c>
      <c r="N158" s="6" t="s">
        <v>52</v>
      </c>
      <c r="O158" s="6">
        <v>0.77171690694626471</v>
      </c>
    </row>
    <row r="159" spans="1:15" x14ac:dyDescent="0.2">
      <c r="A159" s="6" t="s">
        <v>449</v>
      </c>
      <c r="B159" s="6" t="s">
        <v>450</v>
      </c>
      <c r="C159" s="6" t="s">
        <v>49</v>
      </c>
      <c r="D159" s="7">
        <v>599</v>
      </c>
      <c r="E159" s="7">
        <v>15</v>
      </c>
      <c r="F159" s="7">
        <v>3.464203233256351</v>
      </c>
      <c r="G159" s="6" t="s">
        <v>220</v>
      </c>
      <c r="H159" s="6"/>
      <c r="I159" s="16"/>
      <c r="J159" s="16">
        <v>-0.79078567053692428</v>
      </c>
      <c r="K159" s="6" t="s">
        <v>51</v>
      </c>
      <c r="L159" s="6" t="s">
        <v>50</v>
      </c>
      <c r="M159" s="7">
        <v>97.783076923076933</v>
      </c>
      <c r="N159" s="6" t="s">
        <v>52</v>
      </c>
      <c r="O159" s="6">
        <v>0.82830012831768751</v>
      </c>
    </row>
    <row r="160" spans="1:15" x14ac:dyDescent="0.2">
      <c r="A160" s="6" t="s">
        <v>451</v>
      </c>
      <c r="B160" s="6" t="s">
        <v>452</v>
      </c>
      <c r="C160" s="6" t="s">
        <v>49</v>
      </c>
      <c r="D160" s="7">
        <v>799</v>
      </c>
      <c r="E160" s="7">
        <v>130</v>
      </c>
      <c r="F160" s="7">
        <v>30.023094688221711</v>
      </c>
      <c r="G160" s="6" t="s">
        <v>267</v>
      </c>
      <c r="H160" s="6"/>
      <c r="I160" s="16"/>
      <c r="J160" s="16">
        <v>-2.6197664336783242</v>
      </c>
      <c r="K160" s="6" t="s">
        <v>51</v>
      </c>
      <c r="L160" s="6" t="s">
        <v>50</v>
      </c>
      <c r="M160" s="7">
        <v>117.3682631578948</v>
      </c>
      <c r="N160" s="6" t="s">
        <v>52</v>
      </c>
      <c r="O160" s="6">
        <v>0.77012117461398022</v>
      </c>
    </row>
    <row r="161" spans="1:15" x14ac:dyDescent="0.2">
      <c r="A161" s="6" t="s">
        <v>73</v>
      </c>
      <c r="B161" s="6" t="s">
        <v>74</v>
      </c>
      <c r="C161" s="6" t="s">
        <v>49</v>
      </c>
      <c r="D161" s="7">
        <v>1199</v>
      </c>
      <c r="E161" s="7">
        <v>1131</v>
      </c>
      <c r="F161" s="7">
        <v>261.20092378752878</v>
      </c>
      <c r="G161" s="6" t="s">
        <v>260</v>
      </c>
      <c r="H161" s="6"/>
      <c r="I161" s="16"/>
      <c r="J161" s="16">
        <v>-3.643622761666514</v>
      </c>
      <c r="K161" s="6" t="s">
        <v>51</v>
      </c>
      <c r="L161" s="6" t="s">
        <v>50</v>
      </c>
      <c r="M161" s="7">
        <v>310.0997193877551</v>
      </c>
      <c r="N161" s="6" t="s">
        <v>52</v>
      </c>
      <c r="O161" s="6">
        <v>0.69415971467852544</v>
      </c>
    </row>
    <row r="162" spans="1:15" x14ac:dyDescent="0.2">
      <c r="A162" s="6" t="s">
        <v>453</v>
      </c>
      <c r="B162" s="6" t="s">
        <v>454</v>
      </c>
      <c r="C162" s="6" t="s">
        <v>49</v>
      </c>
      <c r="D162" s="7">
        <v>2799</v>
      </c>
      <c r="E162" s="7">
        <v>16</v>
      </c>
      <c r="F162" s="7">
        <v>3.695150115473441</v>
      </c>
      <c r="G162" s="6" t="s">
        <v>335</v>
      </c>
      <c r="H162" s="6"/>
      <c r="I162" s="16"/>
      <c r="J162" s="16">
        <v>-1.504740857521367</v>
      </c>
      <c r="K162" s="6" t="s">
        <v>51</v>
      </c>
      <c r="L162" s="6" t="s">
        <v>50</v>
      </c>
      <c r="M162" s="7">
        <v>639.75233333333324</v>
      </c>
      <c r="N162" s="6" t="s">
        <v>52</v>
      </c>
      <c r="O162" s="6">
        <v>0.74125284799460733</v>
      </c>
    </row>
    <row r="163" spans="1:15" x14ac:dyDescent="0.2">
      <c r="A163" s="6" t="s">
        <v>178</v>
      </c>
      <c r="B163" s="6" t="s">
        <v>179</v>
      </c>
      <c r="C163" s="6" t="s">
        <v>49</v>
      </c>
      <c r="D163" s="7">
        <v>1699</v>
      </c>
      <c r="E163" s="7">
        <v>498</v>
      </c>
      <c r="F163" s="7">
        <v>115.01154734411089</v>
      </c>
      <c r="G163" s="6" t="s">
        <v>302</v>
      </c>
      <c r="H163" s="6"/>
      <c r="I163" s="16"/>
      <c r="J163" s="16">
        <v>-1.384113661892663</v>
      </c>
      <c r="K163" s="6" t="s">
        <v>143</v>
      </c>
      <c r="L163" s="6" t="s">
        <v>50</v>
      </c>
      <c r="M163" s="7">
        <v>459.3425058823529</v>
      </c>
      <c r="N163" s="6" t="s">
        <v>52</v>
      </c>
      <c r="O163" s="6">
        <v>0.68248594757906023</v>
      </c>
    </row>
    <row r="164" spans="1:15" x14ac:dyDescent="0.2">
      <c r="A164" s="6" t="s">
        <v>455</v>
      </c>
      <c r="B164" s="6" t="s">
        <v>456</v>
      </c>
      <c r="C164" s="6" t="s">
        <v>49</v>
      </c>
      <c r="D164" s="7">
        <v>1299</v>
      </c>
      <c r="E164" s="7">
        <v>22</v>
      </c>
      <c r="F164" s="7">
        <v>5.0808314087759818</v>
      </c>
      <c r="G164" s="6" t="s">
        <v>260</v>
      </c>
      <c r="H164" s="6"/>
      <c r="I164" s="16"/>
      <c r="J164" s="16">
        <v>-3.643622761666514</v>
      </c>
      <c r="K164" s="6" t="s">
        <v>51</v>
      </c>
      <c r="L164" s="6" t="s">
        <v>50</v>
      </c>
      <c r="M164" s="7">
        <v>409.89437500000003</v>
      </c>
      <c r="N164" s="6" t="s">
        <v>52</v>
      </c>
      <c r="O164" s="6">
        <v>0.62449781497666845</v>
      </c>
    </row>
    <row r="165" spans="1:15" x14ac:dyDescent="0.2">
      <c r="A165" s="6" t="s">
        <v>457</v>
      </c>
      <c r="B165" s="6" t="s">
        <v>458</v>
      </c>
      <c r="C165" s="6" t="s">
        <v>49</v>
      </c>
      <c r="D165" s="7">
        <v>1299</v>
      </c>
      <c r="E165" s="7">
        <v>29</v>
      </c>
      <c r="F165" s="7">
        <v>6.6974595842956122</v>
      </c>
      <c r="G165" s="6" t="s">
        <v>260</v>
      </c>
      <c r="H165" s="6"/>
      <c r="I165" s="16"/>
      <c r="J165" s="16">
        <v>-3.643622761666514</v>
      </c>
      <c r="K165" s="6" t="s">
        <v>51</v>
      </c>
      <c r="L165" s="6" t="s">
        <v>50</v>
      </c>
      <c r="M165" s="7">
        <v>418.09723076923069</v>
      </c>
      <c r="N165" s="6" t="s">
        <v>52</v>
      </c>
      <c r="O165" s="6">
        <v>0.50165778869778876</v>
      </c>
    </row>
    <row r="166" spans="1:15" x14ac:dyDescent="0.2">
      <c r="A166" s="6" t="s">
        <v>84</v>
      </c>
      <c r="B166" s="6" t="s">
        <v>85</v>
      </c>
      <c r="C166" s="6" t="s">
        <v>49</v>
      </c>
      <c r="D166" s="7">
        <v>1149</v>
      </c>
      <c r="E166" s="7">
        <v>402</v>
      </c>
      <c r="F166" s="7">
        <v>92.840646651270205</v>
      </c>
      <c r="G166" s="6" t="s">
        <v>260</v>
      </c>
      <c r="H166" s="6"/>
      <c r="I166" s="16"/>
      <c r="J166" s="16">
        <v>-3.643622761666514</v>
      </c>
      <c r="K166" s="6" t="s">
        <v>51</v>
      </c>
      <c r="L166" s="6" t="s">
        <v>50</v>
      </c>
      <c r="M166" s="7">
        <v>93.022051282051279</v>
      </c>
      <c r="N166" s="6" t="s">
        <v>52</v>
      </c>
      <c r="O166" s="6">
        <v>0.81262130908688512</v>
      </c>
    </row>
    <row r="167" spans="1:15" x14ac:dyDescent="0.2">
      <c r="A167" s="6" t="s">
        <v>459</v>
      </c>
      <c r="B167" s="6" t="s">
        <v>460</v>
      </c>
      <c r="C167" s="6" t="s">
        <v>49</v>
      </c>
      <c r="D167" s="7"/>
      <c r="E167" s="7"/>
      <c r="F167" s="7"/>
      <c r="G167" s="6"/>
      <c r="H167" s="6"/>
      <c r="I167" s="16"/>
      <c r="J167" s="16">
        <v>-1.384113661892663</v>
      </c>
      <c r="K167" s="6" t="s">
        <v>143</v>
      </c>
      <c r="L167" s="6" t="s">
        <v>50</v>
      </c>
      <c r="M167" s="7">
        <v>765.20999999999992</v>
      </c>
      <c r="N167" s="6" t="s">
        <v>52</v>
      </c>
      <c r="O167" s="6">
        <v>0.74146563957024125</v>
      </c>
    </row>
    <row r="168" spans="1:15" x14ac:dyDescent="0.2">
      <c r="A168" s="6" t="s">
        <v>461</v>
      </c>
      <c r="B168" s="6" t="s">
        <v>462</v>
      </c>
      <c r="C168" s="6" t="s">
        <v>49</v>
      </c>
      <c r="D168" s="7">
        <v>4299</v>
      </c>
      <c r="E168" s="7">
        <v>11</v>
      </c>
      <c r="F168" s="7">
        <v>2.5404157043879909</v>
      </c>
      <c r="G168" s="6" t="s">
        <v>335</v>
      </c>
      <c r="H168" s="6"/>
      <c r="I168" s="16"/>
      <c r="J168" s="16">
        <v>-1.504740857521367</v>
      </c>
      <c r="K168" s="6" t="s">
        <v>51</v>
      </c>
      <c r="L168" s="6" t="s">
        <v>50</v>
      </c>
      <c r="M168" s="7">
        <v>839.15187500000002</v>
      </c>
      <c r="N168" s="6" t="s">
        <v>52</v>
      </c>
      <c r="O168" s="6">
        <v>0.77350444508173211</v>
      </c>
    </row>
    <row r="169" spans="1:15" x14ac:dyDescent="0.2">
      <c r="A169" s="6" t="s">
        <v>463</v>
      </c>
      <c r="B169" s="6" t="s">
        <v>464</v>
      </c>
      <c r="C169" s="6" t="s">
        <v>49</v>
      </c>
      <c r="D169" s="7">
        <v>899</v>
      </c>
      <c r="E169" s="7">
        <v>11</v>
      </c>
      <c r="F169" s="7">
        <v>2.5404157043879909</v>
      </c>
      <c r="G169" s="6" t="s">
        <v>267</v>
      </c>
      <c r="H169" s="6"/>
      <c r="I169" s="16"/>
      <c r="J169" s="16">
        <v>-2.6197664336783242</v>
      </c>
      <c r="K169" s="6" t="s">
        <v>51</v>
      </c>
      <c r="L169" s="6" t="s">
        <v>50</v>
      </c>
      <c r="M169" s="7">
        <v>189.45</v>
      </c>
      <c r="N169" s="6" t="s">
        <v>52</v>
      </c>
      <c r="O169" s="6">
        <v>0.77001517450682866</v>
      </c>
    </row>
    <row r="170" spans="1:15" x14ac:dyDescent="0.2">
      <c r="A170" s="6" t="s">
        <v>465</v>
      </c>
      <c r="B170" s="6" t="s">
        <v>466</v>
      </c>
      <c r="C170" s="6" t="s">
        <v>49</v>
      </c>
      <c r="D170" s="7"/>
      <c r="E170" s="7"/>
      <c r="F170" s="7"/>
      <c r="G170" s="6"/>
      <c r="H170" s="6"/>
      <c r="I170" s="16"/>
      <c r="J170" s="16">
        <v>-1.384113661892663</v>
      </c>
      <c r="K170" s="6" t="s">
        <v>143</v>
      </c>
      <c r="L170" s="6" t="s">
        <v>50</v>
      </c>
      <c r="M170" s="7">
        <v>326.94</v>
      </c>
      <c r="N170" s="6" t="s">
        <v>52</v>
      </c>
      <c r="O170" s="6">
        <v>0.76779829545454537</v>
      </c>
    </row>
    <row r="171" spans="1:15" x14ac:dyDescent="0.2">
      <c r="A171" s="6" t="s">
        <v>86</v>
      </c>
      <c r="B171" s="6" t="s">
        <v>87</v>
      </c>
      <c r="C171" s="6" t="s">
        <v>49</v>
      </c>
      <c r="D171" s="7">
        <v>699</v>
      </c>
      <c r="E171" s="7">
        <v>1500</v>
      </c>
      <c r="F171" s="7">
        <v>346.42032332563508</v>
      </c>
      <c r="G171" s="6" t="s">
        <v>267</v>
      </c>
      <c r="H171" s="6"/>
      <c r="I171" s="16"/>
      <c r="J171" s="16">
        <v>-2.6197664336783242</v>
      </c>
      <c r="K171" s="6" t="s">
        <v>51</v>
      </c>
      <c r="L171" s="6" t="s">
        <v>50</v>
      </c>
      <c r="M171" s="7">
        <v>140.5479</v>
      </c>
      <c r="N171" s="6" t="s">
        <v>52</v>
      </c>
      <c r="O171" s="6">
        <v>0.76509008489877461</v>
      </c>
    </row>
    <row r="172" spans="1:15" x14ac:dyDescent="0.2">
      <c r="A172" s="6" t="s">
        <v>47</v>
      </c>
      <c r="B172" s="6" t="s">
        <v>48</v>
      </c>
      <c r="C172" s="6" t="s">
        <v>49</v>
      </c>
      <c r="D172" s="7">
        <v>997</v>
      </c>
      <c r="E172" s="7">
        <v>11149</v>
      </c>
      <c r="F172" s="7">
        <v>2574.8267898383369</v>
      </c>
      <c r="G172" s="6" t="s">
        <v>267</v>
      </c>
      <c r="H172" s="6"/>
      <c r="I172" s="16"/>
      <c r="J172" s="16">
        <v>-2.6197664336783242</v>
      </c>
      <c r="K172" s="6" t="s">
        <v>51</v>
      </c>
      <c r="L172" s="6" t="s">
        <v>50</v>
      </c>
      <c r="M172" s="7">
        <v>326.02004572175048</v>
      </c>
      <c r="N172" s="6" t="s">
        <v>52</v>
      </c>
      <c r="O172" s="6">
        <v>0.60644759825656769</v>
      </c>
    </row>
    <row r="173" spans="1:15" x14ac:dyDescent="0.2">
      <c r="A173" s="6" t="s">
        <v>467</v>
      </c>
      <c r="B173" s="6" t="s">
        <v>468</v>
      </c>
      <c r="C173" s="6" t="s">
        <v>49</v>
      </c>
      <c r="D173" s="7"/>
      <c r="E173" s="7"/>
      <c r="F173" s="7"/>
      <c r="G173" s="6"/>
      <c r="H173" s="6"/>
      <c r="I173" s="16"/>
      <c r="J173" s="16">
        <v>-1.384113661892663</v>
      </c>
      <c r="K173" s="6" t="s">
        <v>143</v>
      </c>
      <c r="L173" s="6" t="s">
        <v>50</v>
      </c>
      <c r="M173" s="7">
        <v>166.995</v>
      </c>
      <c r="N173" s="6" t="s">
        <v>52</v>
      </c>
      <c r="O173" s="6">
        <v>0.71375982532751092</v>
      </c>
    </row>
    <row r="174" spans="1:15" x14ac:dyDescent="0.2">
      <c r="A174" s="6" t="s">
        <v>469</v>
      </c>
      <c r="B174" s="6" t="s">
        <v>470</v>
      </c>
      <c r="C174" s="6" t="s">
        <v>49</v>
      </c>
      <c r="D174" s="7">
        <v>1399</v>
      </c>
      <c r="E174" s="7">
        <v>44</v>
      </c>
      <c r="F174" s="7">
        <v>10.16166281755196</v>
      </c>
      <c r="G174" s="6" t="s">
        <v>260</v>
      </c>
      <c r="H174" s="6"/>
      <c r="I174" s="16"/>
      <c r="J174" s="16">
        <v>-3.643622761666514</v>
      </c>
      <c r="K174" s="6" t="s">
        <v>51</v>
      </c>
      <c r="L174" s="6" t="s">
        <v>50</v>
      </c>
      <c r="M174" s="7">
        <v>335.67</v>
      </c>
      <c r="N174" s="6" t="s">
        <v>52</v>
      </c>
      <c r="O174" s="6">
        <v>0.74337155963302748</v>
      </c>
    </row>
    <row r="175" spans="1:15" x14ac:dyDescent="0.2">
      <c r="A175" s="6" t="s">
        <v>471</v>
      </c>
      <c r="B175" s="6" t="s">
        <v>472</v>
      </c>
      <c r="C175" s="6" t="s">
        <v>49</v>
      </c>
      <c r="D175" s="7"/>
      <c r="E175" s="7"/>
      <c r="F175" s="7"/>
      <c r="G175" s="6"/>
      <c r="H175" s="6">
        <v>1</v>
      </c>
      <c r="I175" s="16">
        <v>-0.25309494649659109</v>
      </c>
      <c r="J175" s="16">
        <v>-0.25309494649659109</v>
      </c>
      <c r="K175" s="6" t="s">
        <v>58</v>
      </c>
      <c r="L175" s="6" t="s">
        <v>63</v>
      </c>
      <c r="M175" s="7">
        <v>669.10333333333335</v>
      </c>
      <c r="N175" s="6" t="s">
        <v>52</v>
      </c>
      <c r="O175" s="6">
        <v>0.71336427245466238</v>
      </c>
    </row>
    <row r="176" spans="1:15" x14ac:dyDescent="0.2">
      <c r="A176" s="6" t="s">
        <v>473</v>
      </c>
      <c r="B176" s="6" t="s">
        <v>474</v>
      </c>
      <c r="C176" s="6" t="s">
        <v>49</v>
      </c>
      <c r="D176" s="7"/>
      <c r="E176" s="7"/>
      <c r="F176" s="7"/>
      <c r="G176" s="6"/>
      <c r="H176" s="6"/>
      <c r="I176" s="16"/>
      <c r="J176" s="16">
        <v>-1.384113661892663</v>
      </c>
      <c r="K176" s="6" t="s">
        <v>143</v>
      </c>
      <c r="L176" s="6" t="s">
        <v>50</v>
      </c>
      <c r="M176" s="7"/>
      <c r="N176" s="6" t="s">
        <v>132</v>
      </c>
      <c r="O176" s="6"/>
    </row>
    <row r="177" spans="1:15" x14ac:dyDescent="0.2">
      <c r="A177" s="6" t="s">
        <v>475</v>
      </c>
      <c r="B177" s="6" t="s">
        <v>476</v>
      </c>
      <c r="C177" s="6" t="s">
        <v>49</v>
      </c>
      <c r="D177" s="7">
        <v>1399</v>
      </c>
      <c r="E177" s="7">
        <v>15</v>
      </c>
      <c r="F177" s="7">
        <v>3.464203233256351</v>
      </c>
      <c r="G177" s="6" t="s">
        <v>260</v>
      </c>
      <c r="H177" s="6"/>
      <c r="I177" s="16"/>
      <c r="J177" s="16">
        <v>-3.643622761666514</v>
      </c>
      <c r="K177" s="6" t="s">
        <v>51</v>
      </c>
      <c r="L177" s="6" t="s">
        <v>50</v>
      </c>
      <c r="M177" s="7">
        <v>305.67</v>
      </c>
      <c r="N177" s="6" t="s">
        <v>52</v>
      </c>
      <c r="O177" s="6">
        <v>0.39280181293778332</v>
      </c>
    </row>
    <row r="178" spans="1:15" x14ac:dyDescent="0.2">
      <c r="A178" s="6" t="s">
        <v>477</v>
      </c>
      <c r="B178" s="6" t="s">
        <v>478</v>
      </c>
      <c r="C178" s="6" t="s">
        <v>49</v>
      </c>
      <c r="D178" s="7">
        <v>1199</v>
      </c>
      <c r="E178" s="7">
        <v>96</v>
      </c>
      <c r="F178" s="7">
        <v>22.17090069284065</v>
      </c>
      <c r="G178" s="6" t="s">
        <v>260</v>
      </c>
      <c r="H178" s="6"/>
      <c r="I178" s="16"/>
      <c r="J178" s="16">
        <v>-3.643622761666514</v>
      </c>
      <c r="K178" s="6" t="s">
        <v>51</v>
      </c>
      <c r="L178" s="6" t="s">
        <v>50</v>
      </c>
      <c r="M178" s="7">
        <v>277.33</v>
      </c>
      <c r="N178" s="6" t="s">
        <v>52</v>
      </c>
      <c r="O178" s="6">
        <v>0.76143655913978503</v>
      </c>
    </row>
    <row r="179" spans="1:15" x14ac:dyDescent="0.2">
      <c r="A179" s="6" t="s">
        <v>479</v>
      </c>
      <c r="B179" s="6" t="s">
        <v>480</v>
      </c>
      <c r="C179" s="6" t="s">
        <v>49</v>
      </c>
      <c r="D179" s="7"/>
      <c r="E179" s="7"/>
      <c r="F179" s="7"/>
      <c r="G179" s="6"/>
      <c r="H179" s="6"/>
      <c r="I179" s="16"/>
      <c r="J179" s="16">
        <v>-1.384113661892663</v>
      </c>
      <c r="K179" s="6" t="s">
        <v>143</v>
      </c>
      <c r="L179" s="6" t="s">
        <v>50</v>
      </c>
      <c r="M179" s="7">
        <v>433.14</v>
      </c>
      <c r="N179" s="6" t="s">
        <v>52</v>
      </c>
      <c r="O179" s="6">
        <v>0.74027183689786136</v>
      </c>
    </row>
    <row r="180" spans="1:15" x14ac:dyDescent="0.2">
      <c r="A180" s="6" t="s">
        <v>481</v>
      </c>
      <c r="B180" s="6" t="s">
        <v>482</v>
      </c>
      <c r="C180" s="6" t="s">
        <v>49</v>
      </c>
      <c r="D180" s="7">
        <v>999</v>
      </c>
      <c r="E180" s="7">
        <v>69</v>
      </c>
      <c r="F180" s="7">
        <v>15.935334872979221</v>
      </c>
      <c r="G180" s="6" t="s">
        <v>267</v>
      </c>
      <c r="H180" s="6"/>
      <c r="I180" s="16"/>
      <c r="J180" s="16">
        <v>-2.6197664336783242</v>
      </c>
      <c r="K180" s="6" t="s">
        <v>51</v>
      </c>
      <c r="L180" s="6" t="s">
        <v>50</v>
      </c>
      <c r="M180" s="7">
        <v>116.65600000000001</v>
      </c>
      <c r="N180" s="6" t="s">
        <v>52</v>
      </c>
      <c r="O180" s="6">
        <v>0.70655454475957502</v>
      </c>
    </row>
    <row r="181" spans="1:15" x14ac:dyDescent="0.2">
      <c r="A181" s="6" t="s">
        <v>483</v>
      </c>
      <c r="B181" s="6" t="s">
        <v>484</v>
      </c>
      <c r="C181" s="6" t="s">
        <v>49</v>
      </c>
      <c r="D181" s="7"/>
      <c r="E181" s="7"/>
      <c r="F181" s="7"/>
      <c r="G181" s="6"/>
      <c r="H181" s="6"/>
      <c r="I181" s="16"/>
      <c r="J181" s="16">
        <v>-1.384113661892663</v>
      </c>
      <c r="K181" s="6" t="s">
        <v>143</v>
      </c>
      <c r="L181" s="6" t="s">
        <v>50</v>
      </c>
      <c r="M181" s="7">
        <v>1089.054347826087</v>
      </c>
      <c r="N181" s="6" t="s">
        <v>52</v>
      </c>
      <c r="O181" s="6">
        <v>0.32600109774723168</v>
      </c>
    </row>
    <row r="182" spans="1:15" x14ac:dyDescent="0.2">
      <c r="A182" s="6" t="s">
        <v>485</v>
      </c>
      <c r="B182" s="6" t="s">
        <v>486</v>
      </c>
      <c r="C182" s="6" t="s">
        <v>49</v>
      </c>
      <c r="D182" s="7">
        <v>999</v>
      </c>
      <c r="E182" s="7">
        <v>16</v>
      </c>
      <c r="F182" s="7">
        <v>3.695150115473441</v>
      </c>
      <c r="G182" s="6" t="s">
        <v>267</v>
      </c>
      <c r="H182" s="6"/>
      <c r="I182" s="16"/>
      <c r="J182" s="16">
        <v>-2.6197664336783242</v>
      </c>
      <c r="K182" s="6" t="s">
        <v>51</v>
      </c>
      <c r="L182" s="6" t="s">
        <v>50</v>
      </c>
      <c r="M182" s="7">
        <v>268.6438461538462</v>
      </c>
      <c r="N182" s="6" t="s">
        <v>52</v>
      </c>
      <c r="O182" s="6">
        <v>0.69161888586956533</v>
      </c>
    </row>
    <row r="183" spans="1:15" x14ac:dyDescent="0.2">
      <c r="A183" s="6" t="s">
        <v>487</v>
      </c>
      <c r="B183" s="6" t="s">
        <v>488</v>
      </c>
      <c r="C183" s="6" t="s">
        <v>49</v>
      </c>
      <c r="D183" s="7"/>
      <c r="E183" s="7"/>
      <c r="F183" s="7"/>
      <c r="G183" s="6"/>
      <c r="H183" s="6"/>
      <c r="I183" s="16"/>
      <c r="J183" s="16">
        <v>-1.384113661892663</v>
      </c>
      <c r="K183" s="6" t="s">
        <v>143</v>
      </c>
      <c r="L183" s="6" t="s">
        <v>50</v>
      </c>
      <c r="M183" s="7">
        <v>192.7</v>
      </c>
      <c r="N183" s="6" t="s">
        <v>52</v>
      </c>
      <c r="O183" s="6">
        <v>0.78541202672605781</v>
      </c>
    </row>
    <row r="184" spans="1:15" x14ac:dyDescent="0.2">
      <c r="A184" s="6" t="s">
        <v>489</v>
      </c>
      <c r="B184" s="6" t="s">
        <v>490</v>
      </c>
      <c r="C184" s="6" t="s">
        <v>49</v>
      </c>
      <c r="D184" s="7"/>
      <c r="E184" s="7"/>
      <c r="F184" s="7"/>
      <c r="G184" s="6"/>
      <c r="H184" s="6"/>
      <c r="I184" s="16"/>
      <c r="J184" s="16">
        <v>-1.384113661892663</v>
      </c>
      <c r="K184" s="6" t="s">
        <v>143</v>
      </c>
      <c r="L184" s="6" t="s">
        <v>50</v>
      </c>
      <c r="M184" s="7">
        <v>327.27</v>
      </c>
      <c r="N184" s="6" t="s">
        <v>52</v>
      </c>
      <c r="O184" s="6">
        <v>0.75352462720289193</v>
      </c>
    </row>
    <row r="185" spans="1:15" x14ac:dyDescent="0.2">
      <c r="A185" s="6" t="s">
        <v>71</v>
      </c>
      <c r="B185" s="6" t="s">
        <v>72</v>
      </c>
      <c r="C185" s="6" t="s">
        <v>49</v>
      </c>
      <c r="D185" s="7">
        <v>799</v>
      </c>
      <c r="E185" s="7">
        <v>3280</v>
      </c>
      <c r="F185" s="7">
        <v>757.5057736720554</v>
      </c>
      <c r="G185" s="6" t="s">
        <v>267</v>
      </c>
      <c r="H185" s="6"/>
      <c r="I185" s="16"/>
      <c r="J185" s="16">
        <v>-2.6197664336783242</v>
      </c>
      <c r="K185" s="6" t="s">
        <v>51</v>
      </c>
      <c r="L185" s="6" t="s">
        <v>50</v>
      </c>
      <c r="M185" s="7">
        <v>185.61240663900409</v>
      </c>
      <c r="N185" s="6" t="s">
        <v>52</v>
      </c>
      <c r="O185" s="6">
        <v>0.67167805230602451</v>
      </c>
    </row>
    <row r="186" spans="1:15" x14ac:dyDescent="0.2">
      <c r="A186" s="6" t="s">
        <v>491</v>
      </c>
      <c r="B186" s="6" t="s">
        <v>492</v>
      </c>
      <c r="C186" s="6" t="s">
        <v>49</v>
      </c>
      <c r="D186" s="7">
        <v>599</v>
      </c>
      <c r="E186" s="7">
        <v>140</v>
      </c>
      <c r="F186" s="7">
        <v>32.33256351039261</v>
      </c>
      <c r="G186" s="6" t="s">
        <v>220</v>
      </c>
      <c r="H186" s="6"/>
      <c r="I186" s="16"/>
      <c r="J186" s="16">
        <v>-0.79078567053692428</v>
      </c>
      <c r="K186" s="6" t="s">
        <v>51</v>
      </c>
      <c r="L186" s="6" t="s">
        <v>50</v>
      </c>
      <c r="M186" s="7">
        <v>105.4346666666667</v>
      </c>
      <c r="N186" s="6" t="s">
        <v>52</v>
      </c>
      <c r="O186" s="6">
        <v>0.82509292595115313</v>
      </c>
    </row>
    <row r="187" spans="1:15" x14ac:dyDescent="0.2">
      <c r="A187" s="6" t="s">
        <v>493</v>
      </c>
      <c r="B187" s="6" t="s">
        <v>494</v>
      </c>
      <c r="C187" s="6" t="s">
        <v>49</v>
      </c>
      <c r="D187" s="7"/>
      <c r="E187" s="7"/>
      <c r="F187" s="7"/>
      <c r="G187" s="6"/>
      <c r="H187" s="6"/>
      <c r="I187" s="16"/>
      <c r="J187" s="16">
        <v>-1.384113661892663</v>
      </c>
      <c r="K187" s="6" t="s">
        <v>143</v>
      </c>
      <c r="L187" s="6" t="s">
        <v>50</v>
      </c>
      <c r="M187" s="7">
        <v>150.91</v>
      </c>
      <c r="N187" s="6" t="s">
        <v>52</v>
      </c>
      <c r="O187" s="6">
        <v>0.85262695312500003</v>
      </c>
    </row>
    <row r="188" spans="1:15" x14ac:dyDescent="0.2">
      <c r="A188" s="6" t="s">
        <v>495</v>
      </c>
      <c r="B188" s="6" t="s">
        <v>496</v>
      </c>
      <c r="C188" s="6" t="s">
        <v>49</v>
      </c>
      <c r="D188" s="7">
        <v>999</v>
      </c>
      <c r="E188" s="7">
        <v>15</v>
      </c>
      <c r="F188" s="7">
        <v>3.464203233256351</v>
      </c>
      <c r="G188" s="6" t="s">
        <v>267</v>
      </c>
      <c r="H188" s="6"/>
      <c r="I188" s="16"/>
      <c r="J188" s="16">
        <v>-2.6197664336783242</v>
      </c>
      <c r="K188" s="6" t="s">
        <v>51</v>
      </c>
      <c r="L188" s="6" t="s">
        <v>50</v>
      </c>
      <c r="M188" s="7">
        <v>286.7908333333333</v>
      </c>
      <c r="N188" s="6" t="s">
        <v>52</v>
      </c>
      <c r="O188" s="6">
        <v>0.61792523762235785</v>
      </c>
    </row>
    <row r="189" spans="1:15" x14ac:dyDescent="0.2">
      <c r="A189" s="6" t="s">
        <v>497</v>
      </c>
      <c r="B189" s="6" t="s">
        <v>498</v>
      </c>
      <c r="C189" s="6" t="s">
        <v>49</v>
      </c>
      <c r="D189" s="7"/>
      <c r="E189" s="7"/>
      <c r="F189" s="7"/>
      <c r="G189" s="6"/>
      <c r="H189" s="6"/>
      <c r="I189" s="16"/>
      <c r="J189" s="16">
        <v>-1.384113661892663</v>
      </c>
      <c r="K189" s="6" t="s">
        <v>143</v>
      </c>
      <c r="L189" s="6" t="s">
        <v>50</v>
      </c>
      <c r="M189" s="7"/>
      <c r="N189" s="6" t="s">
        <v>132</v>
      </c>
      <c r="O189" s="6"/>
    </row>
    <row r="190" spans="1:15" x14ac:dyDescent="0.2">
      <c r="A190" s="6" t="s">
        <v>499</v>
      </c>
      <c r="B190" s="6" t="s">
        <v>500</v>
      </c>
      <c r="C190" s="6" t="s">
        <v>49</v>
      </c>
      <c r="D190" s="7"/>
      <c r="E190" s="7"/>
      <c r="F190" s="7"/>
      <c r="G190" s="6"/>
      <c r="H190" s="6"/>
      <c r="I190" s="16"/>
      <c r="J190" s="16">
        <v>-1.384113661892663</v>
      </c>
      <c r="K190" s="6" t="s">
        <v>143</v>
      </c>
      <c r="L190" s="6" t="s">
        <v>50</v>
      </c>
      <c r="M190" s="7">
        <v>276.05</v>
      </c>
      <c r="N190" s="6" t="s">
        <v>52</v>
      </c>
      <c r="O190" s="6">
        <v>0.76202586206896561</v>
      </c>
    </row>
    <row r="191" spans="1:15" x14ac:dyDescent="0.2">
      <c r="A191" s="6" t="s">
        <v>501</v>
      </c>
      <c r="B191" s="6" t="s">
        <v>502</v>
      </c>
      <c r="C191" s="6" t="s">
        <v>49</v>
      </c>
      <c r="D191" s="7"/>
      <c r="E191" s="7"/>
      <c r="F191" s="7"/>
      <c r="G191" s="6"/>
      <c r="H191" s="6"/>
      <c r="I191" s="16"/>
      <c r="J191" s="16">
        <v>-1.384113661892663</v>
      </c>
      <c r="K191" s="6" t="s">
        <v>143</v>
      </c>
      <c r="L191" s="6" t="s">
        <v>50</v>
      </c>
      <c r="M191" s="7">
        <v>1104.2</v>
      </c>
      <c r="N191" s="6" t="s">
        <v>52</v>
      </c>
      <c r="O191" s="6">
        <v>0.39379632171287399</v>
      </c>
    </row>
    <row r="192" spans="1:15" x14ac:dyDescent="0.2">
      <c r="A192" s="6" t="s">
        <v>503</v>
      </c>
      <c r="B192" s="6" t="s">
        <v>504</v>
      </c>
      <c r="C192" s="6" t="s">
        <v>49</v>
      </c>
      <c r="D192" s="7">
        <v>1499</v>
      </c>
      <c r="E192" s="7">
        <v>15</v>
      </c>
      <c r="F192" s="7">
        <v>3.464203233256351</v>
      </c>
      <c r="G192" s="6" t="s">
        <v>260</v>
      </c>
      <c r="H192" s="6"/>
      <c r="I192" s="16"/>
      <c r="J192" s="16">
        <v>-3.643622761666514</v>
      </c>
      <c r="K192" s="6" t="s">
        <v>51</v>
      </c>
      <c r="L192" s="6" t="s">
        <v>50</v>
      </c>
      <c r="M192" s="7">
        <v>377.25999999999988</v>
      </c>
      <c r="N192" s="6" t="s">
        <v>52</v>
      </c>
      <c r="O192" s="6">
        <v>0.33572172519695559</v>
      </c>
    </row>
    <row r="193" spans="1:15" x14ac:dyDescent="0.2">
      <c r="A193" s="6" t="s">
        <v>505</v>
      </c>
      <c r="B193" s="6" t="s">
        <v>506</v>
      </c>
      <c r="C193" s="6" t="s">
        <v>49</v>
      </c>
      <c r="D193" s="7">
        <v>1799</v>
      </c>
      <c r="E193" s="7">
        <v>11</v>
      </c>
      <c r="F193" s="7">
        <v>2.5404157043879909</v>
      </c>
      <c r="G193" s="6" t="s">
        <v>302</v>
      </c>
      <c r="H193" s="6"/>
      <c r="I193" s="16"/>
      <c r="J193" s="16">
        <v>-1.384113661892663</v>
      </c>
      <c r="K193" s="6" t="s">
        <v>143</v>
      </c>
      <c r="L193" s="6" t="s">
        <v>50</v>
      </c>
      <c r="M193" s="7">
        <v>459.62</v>
      </c>
      <c r="N193" s="6" t="s">
        <v>52</v>
      </c>
      <c r="O193" s="6">
        <v>0.61780509502628389</v>
      </c>
    </row>
    <row r="194" spans="1:15" x14ac:dyDescent="0.2">
      <c r="A194" s="6" t="s">
        <v>507</v>
      </c>
      <c r="B194" s="6" t="s">
        <v>508</v>
      </c>
      <c r="C194" s="6" t="s">
        <v>49</v>
      </c>
      <c r="D194" s="7">
        <v>1399</v>
      </c>
      <c r="E194" s="7">
        <v>211</v>
      </c>
      <c r="F194" s="7">
        <v>48.729792147806002</v>
      </c>
      <c r="G194" s="6" t="s">
        <v>260</v>
      </c>
      <c r="H194" s="6"/>
      <c r="I194" s="16"/>
      <c r="J194" s="16">
        <v>-3.643622761666514</v>
      </c>
      <c r="K194" s="6" t="s">
        <v>51</v>
      </c>
      <c r="L194" s="6" t="s">
        <v>50</v>
      </c>
      <c r="M194" s="7">
        <v>399.23351351351351</v>
      </c>
      <c r="N194" s="6" t="s">
        <v>52</v>
      </c>
      <c r="O194" s="6">
        <v>0.61049298083980075</v>
      </c>
    </row>
    <row r="195" spans="1:15" x14ac:dyDescent="0.2">
      <c r="A195" s="6" t="s">
        <v>509</v>
      </c>
      <c r="B195" s="6" t="s">
        <v>510</v>
      </c>
      <c r="C195" s="6" t="s">
        <v>49</v>
      </c>
      <c r="D195" s="7"/>
      <c r="E195" s="7"/>
      <c r="F195" s="7"/>
      <c r="G195" s="6"/>
      <c r="H195" s="6"/>
      <c r="I195" s="16"/>
      <c r="J195" s="16">
        <v>-1.384113661892663</v>
      </c>
      <c r="K195" s="6" t="s">
        <v>143</v>
      </c>
      <c r="L195" s="6" t="s">
        <v>50</v>
      </c>
      <c r="M195" s="7">
        <v>377.25999999999988</v>
      </c>
      <c r="N195" s="6" t="s">
        <v>52</v>
      </c>
      <c r="O195" s="6">
        <v>0.48926062687848859</v>
      </c>
    </row>
    <row r="196" spans="1:15" x14ac:dyDescent="0.2">
      <c r="A196" s="6" t="s">
        <v>59</v>
      </c>
      <c r="B196" s="6" t="s">
        <v>60</v>
      </c>
      <c r="C196" s="6" t="s">
        <v>49</v>
      </c>
      <c r="D196" s="7">
        <v>1249</v>
      </c>
      <c r="E196" s="7">
        <v>2172</v>
      </c>
      <c r="F196" s="7">
        <v>501.61662817551962</v>
      </c>
      <c r="G196" s="6" t="s">
        <v>260</v>
      </c>
      <c r="H196" s="6"/>
      <c r="I196" s="16"/>
      <c r="J196" s="16">
        <v>-3.643622761666514</v>
      </c>
      <c r="K196" s="6" t="s">
        <v>51</v>
      </c>
      <c r="L196" s="6" t="s">
        <v>50</v>
      </c>
      <c r="M196" s="7">
        <v>324.53910638297867</v>
      </c>
      <c r="N196" s="6" t="s">
        <v>52</v>
      </c>
      <c r="O196" s="6">
        <v>0.60241017815791942</v>
      </c>
    </row>
    <row r="197" spans="1:15" x14ac:dyDescent="0.2">
      <c r="A197" s="6" t="s">
        <v>511</v>
      </c>
      <c r="B197" s="6" t="s">
        <v>512</v>
      </c>
      <c r="C197" s="6" t="s">
        <v>49</v>
      </c>
      <c r="D197" s="7"/>
      <c r="E197" s="7"/>
      <c r="F197" s="7"/>
      <c r="G197" s="6"/>
      <c r="H197" s="6"/>
      <c r="I197" s="16"/>
      <c r="J197" s="16">
        <v>-1.384113661892663</v>
      </c>
      <c r="K197" s="6" t="s">
        <v>143</v>
      </c>
      <c r="L197" s="6" t="s">
        <v>50</v>
      </c>
      <c r="M197" s="7">
        <v>1217.7550000000001</v>
      </c>
      <c r="N197" s="6" t="s">
        <v>52</v>
      </c>
      <c r="O197" s="6">
        <v>0.37789226811923132</v>
      </c>
    </row>
    <row r="198" spans="1:15" x14ac:dyDescent="0.2">
      <c r="A198" s="6" t="s">
        <v>180</v>
      </c>
      <c r="B198" s="6" t="s">
        <v>181</v>
      </c>
      <c r="C198" s="6" t="s">
        <v>49</v>
      </c>
      <c r="D198" s="7">
        <v>1699</v>
      </c>
      <c r="E198" s="7">
        <v>372</v>
      </c>
      <c r="F198" s="7">
        <v>85.912240184757508</v>
      </c>
      <c r="G198" s="6" t="s">
        <v>302</v>
      </c>
      <c r="H198" s="6"/>
      <c r="I198" s="16"/>
      <c r="J198" s="16">
        <v>-1.384113661892663</v>
      </c>
      <c r="K198" s="6" t="s">
        <v>143</v>
      </c>
      <c r="L198" s="6" t="s">
        <v>50</v>
      </c>
      <c r="M198" s="7">
        <v>463.91835820895528</v>
      </c>
      <c r="N198" s="6" t="s">
        <v>52</v>
      </c>
      <c r="O198" s="6">
        <v>0.63865731843310325</v>
      </c>
    </row>
    <row r="199" spans="1:15" x14ac:dyDescent="0.2">
      <c r="A199" s="6" t="s">
        <v>513</v>
      </c>
      <c r="B199" s="6" t="s">
        <v>514</v>
      </c>
      <c r="C199" s="6" t="s">
        <v>49</v>
      </c>
      <c r="D199" s="7"/>
      <c r="E199" s="7"/>
      <c r="F199" s="7"/>
      <c r="G199" s="6"/>
      <c r="H199" s="6"/>
      <c r="I199" s="16"/>
      <c r="J199" s="16">
        <v>-1.384113661892663</v>
      </c>
      <c r="K199" s="6" t="s">
        <v>143</v>
      </c>
      <c r="L199" s="6" t="s">
        <v>50</v>
      </c>
      <c r="M199" s="7">
        <v>950.31666666666661</v>
      </c>
      <c r="N199" s="6" t="s">
        <v>52</v>
      </c>
      <c r="O199" s="6">
        <v>0.51524402800658975</v>
      </c>
    </row>
    <row r="200" spans="1:15" x14ac:dyDescent="0.2">
      <c r="A200" s="6" t="s">
        <v>515</v>
      </c>
      <c r="B200" s="6" t="s">
        <v>516</v>
      </c>
      <c r="C200" s="6" t="s">
        <v>49</v>
      </c>
      <c r="D200" s="7">
        <v>2399</v>
      </c>
      <c r="E200" s="7">
        <v>26</v>
      </c>
      <c r="F200" s="7">
        <v>6.0046189376443424</v>
      </c>
      <c r="G200" s="6" t="s">
        <v>302</v>
      </c>
      <c r="H200" s="6"/>
      <c r="I200" s="16"/>
      <c r="J200" s="16">
        <v>-1.384113661892663</v>
      </c>
      <c r="K200" s="6" t="s">
        <v>143</v>
      </c>
      <c r="L200" s="6" t="s">
        <v>50</v>
      </c>
      <c r="M200" s="7">
        <v>605.14812500000005</v>
      </c>
      <c r="N200" s="6" t="s">
        <v>52</v>
      </c>
      <c r="O200" s="6">
        <v>0.60285118641497992</v>
      </c>
    </row>
    <row r="201" spans="1:15" x14ac:dyDescent="0.2">
      <c r="A201" s="6" t="s">
        <v>517</v>
      </c>
      <c r="B201" s="6" t="s">
        <v>518</v>
      </c>
      <c r="C201" s="6" t="s">
        <v>49</v>
      </c>
      <c r="D201" s="7">
        <v>2599</v>
      </c>
      <c r="E201" s="7">
        <v>80</v>
      </c>
      <c r="F201" s="7">
        <v>18.475750577367201</v>
      </c>
      <c r="G201" s="6" t="s">
        <v>335</v>
      </c>
      <c r="H201" s="6"/>
      <c r="I201" s="16"/>
      <c r="J201" s="16">
        <v>-1.504740857521367</v>
      </c>
      <c r="K201" s="6" t="s">
        <v>51</v>
      </c>
      <c r="L201" s="6" t="s">
        <v>50</v>
      </c>
      <c r="M201" s="7">
        <v>714.15260869565213</v>
      </c>
      <c r="N201" s="6" t="s">
        <v>52</v>
      </c>
      <c r="O201" s="6">
        <v>0.45262908202622781</v>
      </c>
    </row>
    <row r="202" spans="1:15" x14ac:dyDescent="0.2">
      <c r="A202" s="6" t="s">
        <v>182</v>
      </c>
      <c r="B202" s="6" t="s">
        <v>183</v>
      </c>
      <c r="C202" s="6" t="s">
        <v>49</v>
      </c>
      <c r="D202" s="7">
        <v>2799</v>
      </c>
      <c r="E202" s="7">
        <v>821</v>
      </c>
      <c r="F202" s="7">
        <v>189.60739030023089</v>
      </c>
      <c r="G202" s="6" t="s">
        <v>335</v>
      </c>
      <c r="H202" s="6"/>
      <c r="I202" s="16"/>
      <c r="J202" s="16">
        <v>-1.504740857521367</v>
      </c>
      <c r="K202" s="6" t="s">
        <v>51</v>
      </c>
      <c r="L202" s="6" t="s">
        <v>50</v>
      </c>
      <c r="M202" s="7">
        <v>1082.4416986301369</v>
      </c>
      <c r="N202" s="6" t="s">
        <v>52</v>
      </c>
      <c r="O202" s="6">
        <v>0.50484687026453345</v>
      </c>
    </row>
    <row r="203" spans="1:15" x14ac:dyDescent="0.2">
      <c r="A203" s="6" t="s">
        <v>184</v>
      </c>
      <c r="B203" s="6" t="s">
        <v>185</v>
      </c>
      <c r="C203" s="6" t="s">
        <v>49</v>
      </c>
      <c r="D203" s="7">
        <v>3199</v>
      </c>
      <c r="E203" s="7">
        <v>315</v>
      </c>
      <c r="F203" s="7">
        <v>72.748267898383375</v>
      </c>
      <c r="G203" s="6" t="s">
        <v>335</v>
      </c>
      <c r="H203" s="6"/>
      <c r="I203" s="16"/>
      <c r="J203" s="16">
        <v>-1.504740857521367</v>
      </c>
      <c r="K203" s="6" t="s">
        <v>51</v>
      </c>
      <c r="L203" s="6" t="s">
        <v>50</v>
      </c>
      <c r="M203" s="7">
        <v>1104.6121212121211</v>
      </c>
      <c r="N203" s="6" t="s">
        <v>52</v>
      </c>
      <c r="O203" s="6">
        <v>0.51677519235107872</v>
      </c>
    </row>
    <row r="204" spans="1:15" x14ac:dyDescent="0.2">
      <c r="A204" s="6" t="s">
        <v>519</v>
      </c>
      <c r="B204" s="6" t="s">
        <v>520</v>
      </c>
      <c r="C204" s="6" t="s">
        <v>49</v>
      </c>
      <c r="D204" s="7">
        <v>3999</v>
      </c>
      <c r="E204" s="7">
        <v>14</v>
      </c>
      <c r="F204" s="7">
        <v>3.2332563510392611</v>
      </c>
      <c r="G204" s="6" t="s">
        <v>335</v>
      </c>
      <c r="H204" s="6"/>
      <c r="I204" s="16"/>
      <c r="J204" s="16">
        <v>-1.504740857521367</v>
      </c>
      <c r="K204" s="6" t="s">
        <v>51</v>
      </c>
      <c r="L204" s="6" t="s">
        <v>50</v>
      </c>
      <c r="M204" s="7">
        <v>1755.404545454546</v>
      </c>
      <c r="N204" s="6" t="s">
        <v>52</v>
      </c>
      <c r="O204" s="6">
        <v>0.51424355714123038</v>
      </c>
    </row>
    <row r="205" spans="1:15" x14ac:dyDescent="0.2">
      <c r="A205" s="6" t="s">
        <v>521</v>
      </c>
      <c r="B205" s="6" t="s">
        <v>522</v>
      </c>
      <c r="C205" s="6" t="s">
        <v>49</v>
      </c>
      <c r="D205" s="7">
        <v>2399</v>
      </c>
      <c r="E205" s="7">
        <v>11</v>
      </c>
      <c r="F205" s="7">
        <v>2.5404157043879909</v>
      </c>
      <c r="G205" s="6" t="s">
        <v>302</v>
      </c>
      <c r="H205" s="6"/>
      <c r="I205" s="16"/>
      <c r="J205" s="16">
        <v>-1.384113661892663</v>
      </c>
      <c r="K205" s="6" t="s">
        <v>143</v>
      </c>
      <c r="L205" s="6" t="s">
        <v>50</v>
      </c>
      <c r="M205" s="7">
        <v>597.09083333333331</v>
      </c>
      <c r="N205" s="6" t="s">
        <v>52</v>
      </c>
      <c r="O205" s="6">
        <v>0.70887818950105641</v>
      </c>
    </row>
    <row r="206" spans="1:15" x14ac:dyDescent="0.2">
      <c r="A206" s="6" t="s">
        <v>523</v>
      </c>
      <c r="B206" s="6" t="s">
        <v>524</v>
      </c>
      <c r="C206" s="6" t="s">
        <v>49</v>
      </c>
      <c r="D206" s="7">
        <v>2599</v>
      </c>
      <c r="E206" s="7">
        <v>81</v>
      </c>
      <c r="F206" s="7">
        <v>18.706697459584291</v>
      </c>
      <c r="G206" s="6" t="s">
        <v>335</v>
      </c>
      <c r="H206" s="6"/>
      <c r="I206" s="16"/>
      <c r="J206" s="16">
        <v>-1.504740857521367</v>
      </c>
      <c r="K206" s="6" t="s">
        <v>51</v>
      </c>
      <c r="L206" s="6" t="s">
        <v>50</v>
      </c>
      <c r="M206" s="7">
        <v>788.37451612903214</v>
      </c>
      <c r="N206" s="6" t="s">
        <v>52</v>
      </c>
      <c r="O206" s="6">
        <v>0.61476010507408141</v>
      </c>
    </row>
    <row r="207" spans="1:15" x14ac:dyDescent="0.2">
      <c r="A207" s="6" t="s">
        <v>186</v>
      </c>
      <c r="B207" s="6" t="s">
        <v>187</v>
      </c>
      <c r="C207" s="6" t="s">
        <v>49</v>
      </c>
      <c r="D207" s="7">
        <v>2799</v>
      </c>
      <c r="E207" s="7">
        <v>1159</v>
      </c>
      <c r="F207" s="7">
        <v>267.66743648960738</v>
      </c>
      <c r="G207" s="6" t="s">
        <v>335</v>
      </c>
      <c r="H207" s="6"/>
      <c r="I207" s="16"/>
      <c r="J207" s="16">
        <v>-1.504740857521367</v>
      </c>
      <c r="K207" s="6" t="s">
        <v>51</v>
      </c>
      <c r="L207" s="6" t="s">
        <v>50</v>
      </c>
      <c r="M207" s="7">
        <v>919.79475609756093</v>
      </c>
      <c r="N207" s="6" t="s">
        <v>52</v>
      </c>
      <c r="O207" s="6">
        <v>0.4882505399568034</v>
      </c>
    </row>
    <row r="208" spans="1:15" x14ac:dyDescent="0.2">
      <c r="A208" s="6" t="s">
        <v>188</v>
      </c>
      <c r="B208" s="6" t="s">
        <v>189</v>
      </c>
      <c r="C208" s="6" t="s">
        <v>49</v>
      </c>
      <c r="D208" s="7">
        <v>3199</v>
      </c>
      <c r="E208" s="7">
        <v>346</v>
      </c>
      <c r="F208" s="7">
        <v>79.90762124711317</v>
      </c>
      <c r="G208" s="6" t="s">
        <v>335</v>
      </c>
      <c r="H208" s="6"/>
      <c r="I208" s="16"/>
      <c r="J208" s="16">
        <v>-1.504740857521367</v>
      </c>
      <c r="K208" s="6" t="s">
        <v>51</v>
      </c>
      <c r="L208" s="6" t="s">
        <v>50</v>
      </c>
      <c r="M208" s="7">
        <v>1129.603866666667</v>
      </c>
      <c r="N208" s="6" t="s">
        <v>52</v>
      </c>
      <c r="O208" s="6">
        <v>0.5268675512146076</v>
      </c>
    </row>
    <row r="209" spans="1:15" x14ac:dyDescent="0.2">
      <c r="A209" s="6" t="s">
        <v>525</v>
      </c>
      <c r="B209" s="6" t="s">
        <v>526</v>
      </c>
      <c r="C209" s="6" t="s">
        <v>49</v>
      </c>
      <c r="D209" s="7">
        <v>3999</v>
      </c>
      <c r="E209" s="7">
        <v>12</v>
      </c>
      <c r="F209" s="7">
        <v>2.7713625866050808</v>
      </c>
      <c r="G209" s="6" t="s">
        <v>335</v>
      </c>
      <c r="H209" s="6"/>
      <c r="I209" s="16"/>
      <c r="J209" s="16">
        <v>-1.504740857521367</v>
      </c>
      <c r="K209" s="6" t="s">
        <v>51</v>
      </c>
      <c r="L209" s="6" t="s">
        <v>50</v>
      </c>
      <c r="M209" s="7">
        <v>1779.848333333334</v>
      </c>
      <c r="N209" s="6" t="s">
        <v>52</v>
      </c>
      <c r="O209" s="6">
        <v>0.39952261634432168</v>
      </c>
    </row>
    <row r="210" spans="1:15" x14ac:dyDescent="0.2">
      <c r="A210" s="6" t="s">
        <v>527</v>
      </c>
      <c r="B210" s="6" t="s">
        <v>528</v>
      </c>
      <c r="C210" s="6" t="s">
        <v>49</v>
      </c>
      <c r="D210" s="7"/>
      <c r="E210" s="7"/>
      <c r="F210" s="7"/>
      <c r="G210" s="6"/>
      <c r="H210" s="6"/>
      <c r="I210" s="16"/>
      <c r="J210" s="16">
        <v>-1.384113661892663</v>
      </c>
      <c r="K210" s="6" t="s">
        <v>143</v>
      </c>
      <c r="L210" s="6" t="s">
        <v>50</v>
      </c>
      <c r="M210" s="7"/>
      <c r="N210" s="6" t="s">
        <v>132</v>
      </c>
      <c r="O210" s="6"/>
    </row>
    <row r="211" spans="1:15" x14ac:dyDescent="0.2">
      <c r="A211" s="6" t="s">
        <v>529</v>
      </c>
      <c r="B211" s="6" t="s">
        <v>530</v>
      </c>
      <c r="C211" s="6" t="s">
        <v>49</v>
      </c>
      <c r="D211" s="7"/>
      <c r="E211" s="7"/>
      <c r="F211" s="7"/>
      <c r="G211" s="6"/>
      <c r="H211" s="6"/>
      <c r="I211" s="16"/>
      <c r="J211" s="16">
        <v>-1.384113661892663</v>
      </c>
      <c r="K211" s="6" t="s">
        <v>143</v>
      </c>
      <c r="L211" s="6" t="s">
        <v>50</v>
      </c>
      <c r="M211" s="7">
        <v>665.34</v>
      </c>
      <c r="N211" s="6" t="s">
        <v>52</v>
      </c>
      <c r="O211" s="6">
        <v>0.45209433203805433</v>
      </c>
    </row>
    <row r="212" spans="1:15" x14ac:dyDescent="0.2">
      <c r="A212" s="6" t="s">
        <v>531</v>
      </c>
      <c r="B212" s="6" t="s">
        <v>532</v>
      </c>
      <c r="C212" s="6" t="s">
        <v>49</v>
      </c>
      <c r="D212" s="7"/>
      <c r="E212" s="7"/>
      <c r="F212" s="7"/>
      <c r="G212" s="6"/>
      <c r="H212" s="6"/>
      <c r="I212" s="16"/>
      <c r="J212" s="16">
        <v>-1.384113661892663</v>
      </c>
      <c r="K212" s="6" t="s">
        <v>143</v>
      </c>
      <c r="L212" s="6" t="s">
        <v>50</v>
      </c>
      <c r="M212" s="7">
        <v>1417.115</v>
      </c>
      <c r="N212" s="6" t="s">
        <v>52</v>
      </c>
      <c r="O212" s="6">
        <v>0.58894416243654812</v>
      </c>
    </row>
    <row r="213" spans="1:15" x14ac:dyDescent="0.2">
      <c r="A213" s="6" t="s">
        <v>533</v>
      </c>
      <c r="B213" s="6" t="s">
        <v>534</v>
      </c>
      <c r="C213" s="6" t="s">
        <v>49</v>
      </c>
      <c r="D213" s="7"/>
      <c r="E213" s="7"/>
      <c r="F213" s="7"/>
      <c r="G213" s="6"/>
      <c r="H213" s="6"/>
      <c r="I213" s="16"/>
      <c r="J213" s="16">
        <v>-1.384113661892663</v>
      </c>
      <c r="K213" s="6" t="s">
        <v>143</v>
      </c>
      <c r="L213" s="6" t="s">
        <v>50</v>
      </c>
      <c r="M213" s="7"/>
      <c r="N213" s="6" t="s">
        <v>132</v>
      </c>
      <c r="O213" s="6"/>
    </row>
    <row r="214" spans="1:15" x14ac:dyDescent="0.2">
      <c r="A214" s="6" t="s">
        <v>535</v>
      </c>
      <c r="B214" s="6" t="s">
        <v>536</v>
      </c>
      <c r="C214" s="6" t="s">
        <v>49</v>
      </c>
      <c r="D214" s="7"/>
      <c r="E214" s="7"/>
      <c r="F214" s="7"/>
      <c r="G214" s="6"/>
      <c r="H214" s="6"/>
      <c r="I214" s="16"/>
      <c r="J214" s="16">
        <v>-1.384113661892663</v>
      </c>
      <c r="K214" s="6" t="s">
        <v>143</v>
      </c>
      <c r="L214" s="6" t="s">
        <v>50</v>
      </c>
      <c r="M214" s="7">
        <v>305.56</v>
      </c>
      <c r="N214" s="6" t="s">
        <v>52</v>
      </c>
      <c r="O214" s="6">
        <v>0.71389513108614233</v>
      </c>
    </row>
    <row r="215" spans="1:15" x14ac:dyDescent="0.2">
      <c r="A215" s="6" t="s">
        <v>537</v>
      </c>
      <c r="B215" s="6" t="s">
        <v>538</v>
      </c>
      <c r="C215" s="6" t="s">
        <v>49</v>
      </c>
      <c r="D215" s="7"/>
      <c r="E215" s="7"/>
      <c r="F215" s="7"/>
      <c r="G215" s="6"/>
      <c r="H215" s="6"/>
      <c r="I215" s="16"/>
      <c r="J215" s="16">
        <v>-1.384113661892663</v>
      </c>
      <c r="K215" s="6" t="s">
        <v>143</v>
      </c>
      <c r="L215" s="6" t="s">
        <v>50</v>
      </c>
      <c r="M215" s="7">
        <v>1224.4766666666669</v>
      </c>
      <c r="N215" s="6" t="s">
        <v>52</v>
      </c>
      <c r="O215" s="6">
        <v>0.65834914434523806</v>
      </c>
    </row>
    <row r="216" spans="1:15" x14ac:dyDescent="0.2">
      <c r="A216" s="6" t="s">
        <v>539</v>
      </c>
      <c r="B216" s="6" t="s">
        <v>540</v>
      </c>
      <c r="C216" s="6" t="s">
        <v>49</v>
      </c>
      <c r="D216" s="7">
        <v>1599</v>
      </c>
      <c r="E216" s="7">
        <v>95</v>
      </c>
      <c r="F216" s="7">
        <v>21.93995381062356</v>
      </c>
      <c r="G216" s="6" t="s">
        <v>302</v>
      </c>
      <c r="H216" s="6"/>
      <c r="I216" s="16"/>
      <c r="J216" s="16">
        <v>-1.384113661892663</v>
      </c>
      <c r="K216" s="6" t="s">
        <v>143</v>
      </c>
      <c r="L216" s="6" t="s">
        <v>50</v>
      </c>
      <c r="M216" s="7">
        <v>366.27</v>
      </c>
      <c r="N216" s="6" t="s">
        <v>52</v>
      </c>
      <c r="O216" s="6">
        <v>0.5063394383394384</v>
      </c>
    </row>
    <row r="217" spans="1:15" x14ac:dyDescent="0.2">
      <c r="A217" s="6" t="s">
        <v>541</v>
      </c>
      <c r="B217" s="6" t="s">
        <v>542</v>
      </c>
      <c r="C217" s="6" t="s">
        <v>49</v>
      </c>
      <c r="D217" s="7"/>
      <c r="E217" s="7"/>
      <c r="F217" s="7"/>
      <c r="G217" s="6"/>
      <c r="H217" s="6"/>
      <c r="I217" s="16"/>
      <c r="J217" s="16">
        <v>-1.384113661892663</v>
      </c>
      <c r="K217" s="6" t="s">
        <v>143</v>
      </c>
      <c r="L217" s="6" t="s">
        <v>50</v>
      </c>
      <c r="M217" s="7">
        <v>642.75</v>
      </c>
      <c r="N217" s="6" t="s">
        <v>52</v>
      </c>
      <c r="O217" s="6">
        <v>0.44497169497169498</v>
      </c>
    </row>
    <row r="218" spans="1:15" x14ac:dyDescent="0.2">
      <c r="A218" s="6" t="s">
        <v>543</v>
      </c>
      <c r="B218" s="6" t="s">
        <v>544</v>
      </c>
      <c r="C218" s="6" t="s">
        <v>49</v>
      </c>
      <c r="D218" s="7">
        <v>1599</v>
      </c>
      <c r="E218" s="7">
        <v>43</v>
      </c>
      <c r="F218" s="7">
        <v>9.930715935334872</v>
      </c>
      <c r="G218" s="6" t="s">
        <v>302</v>
      </c>
      <c r="H218" s="6"/>
      <c r="I218" s="16"/>
      <c r="J218" s="16">
        <v>-1.384113661892663</v>
      </c>
      <c r="K218" s="6" t="s">
        <v>143</v>
      </c>
      <c r="L218" s="6" t="s">
        <v>50</v>
      </c>
      <c r="M218" s="7">
        <v>484.48333333333329</v>
      </c>
      <c r="N218" s="6" t="s">
        <v>52</v>
      </c>
      <c r="O218" s="6">
        <v>0.54727038222089941</v>
      </c>
    </row>
    <row r="219" spans="1:15" x14ac:dyDescent="0.2">
      <c r="A219" s="6" t="s">
        <v>545</v>
      </c>
      <c r="B219" s="6" t="s">
        <v>546</v>
      </c>
      <c r="C219" s="6" t="s">
        <v>49</v>
      </c>
      <c r="D219" s="7">
        <v>2699</v>
      </c>
      <c r="E219" s="7">
        <v>40</v>
      </c>
      <c r="F219" s="7">
        <v>9.2378752886836022</v>
      </c>
      <c r="G219" s="6" t="s">
        <v>335</v>
      </c>
      <c r="H219" s="6"/>
      <c r="I219" s="16"/>
      <c r="J219" s="16">
        <v>-1.504740857521367</v>
      </c>
      <c r="K219" s="6" t="s">
        <v>51</v>
      </c>
      <c r="L219" s="6" t="s">
        <v>50</v>
      </c>
      <c r="M219" s="7">
        <v>724.98000000000013</v>
      </c>
      <c r="N219" s="6" t="s">
        <v>52</v>
      </c>
      <c r="O219" s="6">
        <v>0.49711330260478082</v>
      </c>
    </row>
    <row r="220" spans="1:15" x14ac:dyDescent="0.2">
      <c r="A220" s="6" t="s">
        <v>547</v>
      </c>
      <c r="B220" s="6" t="s">
        <v>548</v>
      </c>
      <c r="C220" s="6" t="s">
        <v>49</v>
      </c>
      <c r="D220" s="7">
        <v>2799</v>
      </c>
      <c r="E220" s="7">
        <v>16</v>
      </c>
      <c r="F220" s="7">
        <v>3.695150115473441</v>
      </c>
      <c r="G220" s="6" t="s">
        <v>335</v>
      </c>
      <c r="H220" s="6"/>
      <c r="I220" s="16"/>
      <c r="J220" s="16">
        <v>-1.504740857521367</v>
      </c>
      <c r="K220" s="6" t="s">
        <v>51</v>
      </c>
      <c r="L220" s="6" t="s">
        <v>50</v>
      </c>
      <c r="M220" s="7">
        <v>687.13</v>
      </c>
      <c r="N220" s="6" t="s">
        <v>52</v>
      </c>
      <c r="O220" s="6">
        <v>0.59114654333008765</v>
      </c>
    </row>
    <row r="221" spans="1:15" x14ac:dyDescent="0.2">
      <c r="A221" s="6" t="s">
        <v>549</v>
      </c>
      <c r="B221" s="6" t="s">
        <v>550</v>
      </c>
      <c r="C221" s="6" t="s">
        <v>49</v>
      </c>
      <c r="D221" s="7"/>
      <c r="E221" s="7"/>
      <c r="F221" s="7"/>
      <c r="G221" s="6"/>
      <c r="H221" s="6"/>
      <c r="I221" s="16"/>
      <c r="J221" s="16">
        <v>-1.384113661892663</v>
      </c>
      <c r="K221" s="6" t="s">
        <v>143</v>
      </c>
      <c r="L221" s="6" t="s">
        <v>50</v>
      </c>
      <c r="M221" s="7">
        <v>2322.6149999999998</v>
      </c>
      <c r="N221" s="6" t="s">
        <v>52</v>
      </c>
      <c r="O221" s="6">
        <v>0.68246428327295106</v>
      </c>
    </row>
    <row r="222" spans="1:15" x14ac:dyDescent="0.2">
      <c r="A222" s="6" t="s">
        <v>551</v>
      </c>
      <c r="B222" s="6" t="s">
        <v>552</v>
      </c>
      <c r="C222" s="6" t="s">
        <v>49</v>
      </c>
      <c r="D222" s="7">
        <v>2199</v>
      </c>
      <c r="E222" s="7">
        <v>11</v>
      </c>
      <c r="F222" s="7">
        <v>2.5404157043879909</v>
      </c>
      <c r="G222" s="6" t="s">
        <v>302</v>
      </c>
      <c r="H222" s="6"/>
      <c r="I222" s="16"/>
      <c r="J222" s="16">
        <v>-1.384113661892663</v>
      </c>
      <c r="K222" s="6" t="s">
        <v>143</v>
      </c>
      <c r="L222" s="6" t="s">
        <v>50</v>
      </c>
      <c r="M222" s="7">
        <v>644.36333333333323</v>
      </c>
      <c r="N222" s="6" t="s">
        <v>52</v>
      </c>
      <c r="O222" s="6">
        <v>0.70658891980774097</v>
      </c>
    </row>
    <row r="223" spans="1:15" x14ac:dyDescent="0.2">
      <c r="A223" s="6" t="s">
        <v>553</v>
      </c>
      <c r="B223" s="6" t="s">
        <v>554</v>
      </c>
      <c r="C223" s="6" t="s">
        <v>49</v>
      </c>
      <c r="D223" s="7"/>
      <c r="E223" s="7"/>
      <c r="F223" s="7"/>
      <c r="G223" s="6"/>
      <c r="H223" s="6"/>
      <c r="I223" s="16"/>
      <c r="J223" s="16">
        <v>-1.384113661892663</v>
      </c>
      <c r="K223" s="6" t="s">
        <v>143</v>
      </c>
      <c r="L223" s="6" t="s">
        <v>50</v>
      </c>
      <c r="M223" s="7">
        <v>1517.93</v>
      </c>
      <c r="N223" s="6" t="s">
        <v>52</v>
      </c>
      <c r="O223" s="6">
        <v>0.69782415394824149</v>
      </c>
    </row>
    <row r="224" spans="1:15" x14ac:dyDescent="0.2">
      <c r="A224" s="6" t="s">
        <v>555</v>
      </c>
      <c r="B224" s="6" t="s">
        <v>556</v>
      </c>
      <c r="C224" s="6" t="s">
        <v>49</v>
      </c>
      <c r="D224" s="7">
        <v>2998</v>
      </c>
      <c r="E224" s="7">
        <v>14</v>
      </c>
      <c r="F224" s="7">
        <v>3.2332563510392611</v>
      </c>
      <c r="G224" s="6" t="s">
        <v>335</v>
      </c>
      <c r="H224" s="6"/>
      <c r="I224" s="16"/>
      <c r="J224" s="16">
        <v>-1.504740857521367</v>
      </c>
      <c r="K224" s="6" t="s">
        <v>51</v>
      </c>
      <c r="L224" s="6" t="s">
        <v>50</v>
      </c>
      <c r="M224" s="7">
        <v>1809.192</v>
      </c>
      <c r="N224" s="6" t="s">
        <v>52</v>
      </c>
      <c r="O224" s="6">
        <v>0.39268479355488412</v>
      </c>
    </row>
    <row r="225" spans="1:15" x14ac:dyDescent="0.2">
      <c r="A225" s="6" t="s">
        <v>557</v>
      </c>
      <c r="B225" s="6" t="s">
        <v>558</v>
      </c>
      <c r="C225" s="6" t="s">
        <v>49</v>
      </c>
      <c r="D225" s="7">
        <v>2299</v>
      </c>
      <c r="E225" s="7">
        <v>38</v>
      </c>
      <c r="F225" s="7">
        <v>8.7759815242494223</v>
      </c>
      <c r="G225" s="6" t="s">
        <v>302</v>
      </c>
      <c r="H225" s="6"/>
      <c r="I225" s="16"/>
      <c r="J225" s="16">
        <v>-1.384113661892663</v>
      </c>
      <c r="K225" s="6" t="s">
        <v>143</v>
      </c>
      <c r="L225" s="6" t="s">
        <v>50</v>
      </c>
      <c r="M225" s="7">
        <v>785.67307692307679</v>
      </c>
      <c r="N225" s="6" t="s">
        <v>52</v>
      </c>
      <c r="O225" s="6">
        <v>0.60226323442962781</v>
      </c>
    </row>
    <row r="226" spans="1:15" x14ac:dyDescent="0.2">
      <c r="A226" s="6" t="s">
        <v>190</v>
      </c>
      <c r="B226" s="6" t="s">
        <v>191</v>
      </c>
      <c r="C226" s="6" t="s">
        <v>49</v>
      </c>
      <c r="D226" s="7">
        <v>2499</v>
      </c>
      <c r="E226" s="7">
        <v>1262</v>
      </c>
      <c r="F226" s="7">
        <v>291.45496535796758</v>
      </c>
      <c r="G226" s="6" t="s">
        <v>302</v>
      </c>
      <c r="H226" s="6"/>
      <c r="I226" s="16"/>
      <c r="J226" s="16">
        <v>-1.384113661892663</v>
      </c>
      <c r="K226" s="6" t="s">
        <v>143</v>
      </c>
      <c r="L226" s="6" t="s">
        <v>50</v>
      </c>
      <c r="M226" s="7">
        <v>946.60524324324319</v>
      </c>
      <c r="N226" s="6" t="s">
        <v>52</v>
      </c>
      <c r="O226" s="6">
        <v>0.50187054210283155</v>
      </c>
    </row>
    <row r="227" spans="1:15" x14ac:dyDescent="0.2">
      <c r="A227" s="6" t="s">
        <v>559</v>
      </c>
      <c r="B227" s="6" t="s">
        <v>560</v>
      </c>
      <c r="C227" s="6" t="s">
        <v>49</v>
      </c>
      <c r="D227" s="7"/>
      <c r="E227" s="7"/>
      <c r="F227" s="7"/>
      <c r="G227" s="6"/>
      <c r="H227" s="6"/>
      <c r="I227" s="16"/>
      <c r="J227" s="16">
        <v>-1.384113661892663</v>
      </c>
      <c r="K227" s="6" t="s">
        <v>143</v>
      </c>
      <c r="L227" s="6" t="s">
        <v>50</v>
      </c>
      <c r="M227" s="7">
        <v>245.57</v>
      </c>
      <c r="N227" s="6" t="s">
        <v>52</v>
      </c>
      <c r="O227" s="6">
        <v>0.50376164680390034</v>
      </c>
    </row>
    <row r="228" spans="1:15" x14ac:dyDescent="0.2">
      <c r="A228" s="6" t="s">
        <v>561</v>
      </c>
      <c r="B228" s="6" t="s">
        <v>562</v>
      </c>
      <c r="C228" s="6" t="s">
        <v>49</v>
      </c>
      <c r="D228" s="7">
        <v>2499</v>
      </c>
      <c r="E228" s="7">
        <v>24</v>
      </c>
      <c r="F228" s="7">
        <v>5.5427251732101617</v>
      </c>
      <c r="G228" s="6" t="s">
        <v>302</v>
      </c>
      <c r="H228" s="6"/>
      <c r="I228" s="16"/>
      <c r="J228" s="16">
        <v>-1.384113661892663</v>
      </c>
      <c r="K228" s="6" t="s">
        <v>143</v>
      </c>
      <c r="L228" s="6" t="s">
        <v>50</v>
      </c>
      <c r="M228" s="7">
        <v>656.50000000000011</v>
      </c>
      <c r="N228" s="6" t="s">
        <v>52</v>
      </c>
      <c r="O228" s="6">
        <v>0.74234693877551017</v>
      </c>
    </row>
    <row r="229" spans="1:15" x14ac:dyDescent="0.2">
      <c r="A229" s="6" t="s">
        <v>563</v>
      </c>
      <c r="B229" s="6" t="s">
        <v>564</v>
      </c>
      <c r="C229" s="6" t="s">
        <v>49</v>
      </c>
      <c r="D229" s="7">
        <v>1450</v>
      </c>
      <c r="E229" s="7">
        <v>26</v>
      </c>
      <c r="F229" s="7">
        <v>6.0046189376443424</v>
      </c>
      <c r="G229" s="6" t="s">
        <v>260</v>
      </c>
      <c r="H229" s="6"/>
      <c r="I229" s="16"/>
      <c r="J229" s="16">
        <v>-3.643622761666514</v>
      </c>
      <c r="K229" s="6" t="s">
        <v>51</v>
      </c>
      <c r="L229" s="6" t="s">
        <v>50</v>
      </c>
      <c r="M229" s="7">
        <v>295.58166666666659</v>
      </c>
      <c r="N229" s="6" t="s">
        <v>52</v>
      </c>
      <c r="O229" s="6">
        <v>0.7874277837708259</v>
      </c>
    </row>
    <row r="230" spans="1:15" x14ac:dyDescent="0.2">
      <c r="A230" s="6" t="s">
        <v>565</v>
      </c>
      <c r="B230" s="6" t="s">
        <v>566</v>
      </c>
      <c r="C230" s="6" t="s">
        <v>49</v>
      </c>
      <c r="D230" s="7">
        <v>1399</v>
      </c>
      <c r="E230" s="7">
        <v>13</v>
      </c>
      <c r="F230" s="7">
        <v>3.0023094688221712</v>
      </c>
      <c r="G230" s="6" t="s">
        <v>260</v>
      </c>
      <c r="H230" s="6"/>
      <c r="I230" s="16"/>
      <c r="J230" s="16">
        <v>-3.643622761666514</v>
      </c>
      <c r="K230" s="6" t="s">
        <v>51</v>
      </c>
      <c r="L230" s="6" t="s">
        <v>50</v>
      </c>
      <c r="M230" s="7">
        <v>487.245</v>
      </c>
      <c r="N230" s="6" t="s">
        <v>52</v>
      </c>
      <c r="O230" s="6">
        <v>0.65735232067510552</v>
      </c>
    </row>
    <row r="231" spans="1:15" x14ac:dyDescent="0.2">
      <c r="A231" s="6" t="s">
        <v>567</v>
      </c>
      <c r="B231" s="6" t="s">
        <v>568</v>
      </c>
      <c r="C231" s="6" t="s">
        <v>49</v>
      </c>
      <c r="D231" s="7">
        <v>1999</v>
      </c>
      <c r="E231" s="7">
        <v>84</v>
      </c>
      <c r="F231" s="7">
        <v>19.399538106235561</v>
      </c>
      <c r="G231" s="6" t="s">
        <v>302</v>
      </c>
      <c r="H231" s="6"/>
      <c r="I231" s="16"/>
      <c r="J231" s="16">
        <v>-1.384113661892663</v>
      </c>
      <c r="K231" s="6" t="s">
        <v>143</v>
      </c>
      <c r="L231" s="6" t="s">
        <v>50</v>
      </c>
      <c r="M231" s="7">
        <v>577.65</v>
      </c>
      <c r="N231" s="6" t="s">
        <v>52</v>
      </c>
      <c r="O231" s="6">
        <v>0.64526529108327191</v>
      </c>
    </row>
    <row r="232" spans="1:15" x14ac:dyDescent="0.2">
      <c r="A232" s="6" t="s">
        <v>569</v>
      </c>
      <c r="B232" s="6" t="s">
        <v>570</v>
      </c>
      <c r="C232" s="6" t="s">
        <v>49</v>
      </c>
      <c r="D232" s="7"/>
      <c r="E232" s="7"/>
      <c r="F232" s="7"/>
      <c r="G232" s="6"/>
      <c r="H232" s="6"/>
      <c r="I232" s="16"/>
      <c r="J232" s="16">
        <v>-1.384113661892663</v>
      </c>
      <c r="K232" s="6" t="s">
        <v>143</v>
      </c>
      <c r="L232" s="6" t="s">
        <v>50</v>
      </c>
      <c r="M232" s="7">
        <v>851.14400000000001</v>
      </c>
      <c r="N232" s="6" t="s">
        <v>52</v>
      </c>
      <c r="O232" s="6">
        <v>0.6702270437814799</v>
      </c>
    </row>
    <row r="233" spans="1:15" x14ac:dyDescent="0.2">
      <c r="A233" s="6" t="s">
        <v>571</v>
      </c>
      <c r="B233" s="6" t="s">
        <v>572</v>
      </c>
      <c r="C233" s="6" t="s">
        <v>49</v>
      </c>
      <c r="D233" s="7"/>
      <c r="E233" s="7"/>
      <c r="F233" s="7"/>
      <c r="G233" s="6"/>
      <c r="H233" s="6"/>
      <c r="I233" s="16"/>
      <c r="J233" s="16">
        <v>-1.384113661892663</v>
      </c>
      <c r="K233" s="6" t="s">
        <v>143</v>
      </c>
      <c r="L233" s="6" t="s">
        <v>50</v>
      </c>
      <c r="M233" s="7">
        <v>873.26</v>
      </c>
      <c r="N233" s="6" t="s">
        <v>52</v>
      </c>
      <c r="O233" s="6">
        <v>0.46659043945447032</v>
      </c>
    </row>
    <row r="234" spans="1:15" x14ac:dyDescent="0.2">
      <c r="A234" s="6" t="s">
        <v>192</v>
      </c>
      <c r="B234" s="6" t="s">
        <v>193</v>
      </c>
      <c r="C234" s="6" t="s">
        <v>49</v>
      </c>
      <c r="D234" s="7">
        <v>3299</v>
      </c>
      <c r="E234" s="7">
        <v>344</v>
      </c>
      <c r="F234" s="7">
        <v>79.445727482678976</v>
      </c>
      <c r="G234" s="6" t="s">
        <v>335</v>
      </c>
      <c r="H234" s="6"/>
      <c r="I234" s="16"/>
      <c r="J234" s="16">
        <v>-1.504740857521367</v>
      </c>
      <c r="K234" s="6" t="s">
        <v>51</v>
      </c>
      <c r="L234" s="6" t="s">
        <v>50</v>
      </c>
      <c r="M234" s="7">
        <v>1251.6930909090911</v>
      </c>
      <c r="N234" s="6" t="s">
        <v>52</v>
      </c>
      <c r="O234" s="6">
        <v>0.54033946041363989</v>
      </c>
    </row>
    <row r="235" spans="1:15" x14ac:dyDescent="0.2">
      <c r="A235" s="6" t="s">
        <v>573</v>
      </c>
      <c r="B235" s="6" t="s">
        <v>574</v>
      </c>
      <c r="C235" s="6" t="s">
        <v>49</v>
      </c>
      <c r="D235" s="7">
        <v>4499</v>
      </c>
      <c r="E235" s="7">
        <v>54</v>
      </c>
      <c r="F235" s="7">
        <v>12.471131639722859</v>
      </c>
      <c r="G235" s="6" t="s">
        <v>335</v>
      </c>
      <c r="H235" s="6"/>
      <c r="I235" s="16"/>
      <c r="J235" s="16">
        <v>-1.504740857521367</v>
      </c>
      <c r="K235" s="6" t="s">
        <v>51</v>
      </c>
      <c r="L235" s="6" t="s">
        <v>50</v>
      </c>
      <c r="M235" s="7">
        <v>3447.6734883720928</v>
      </c>
      <c r="N235" s="6" t="s">
        <v>52</v>
      </c>
      <c r="O235" s="6">
        <v>0.1166401944981444</v>
      </c>
    </row>
    <row r="236" spans="1:15" x14ac:dyDescent="0.2">
      <c r="A236" s="6" t="s">
        <v>194</v>
      </c>
      <c r="B236" s="6" t="s">
        <v>195</v>
      </c>
      <c r="C236" s="6" t="s">
        <v>49</v>
      </c>
      <c r="D236" s="7">
        <v>2499</v>
      </c>
      <c r="E236" s="7">
        <v>5392</v>
      </c>
      <c r="F236" s="7">
        <v>1245.2655889145501</v>
      </c>
      <c r="G236" s="6" t="s">
        <v>302</v>
      </c>
      <c r="H236" s="6"/>
      <c r="I236" s="16"/>
      <c r="J236" s="16">
        <v>-1.384113661892663</v>
      </c>
      <c r="K236" s="6" t="s">
        <v>143</v>
      </c>
      <c r="L236" s="6" t="s">
        <v>50</v>
      </c>
      <c r="M236" s="7">
        <v>919.77102201257856</v>
      </c>
      <c r="N236" s="6" t="s">
        <v>52</v>
      </c>
      <c r="O236" s="6">
        <v>0.50993087925816272</v>
      </c>
    </row>
    <row r="237" spans="1:15" x14ac:dyDescent="0.2">
      <c r="A237" s="6" t="s">
        <v>575</v>
      </c>
      <c r="B237" s="6" t="s">
        <v>576</v>
      </c>
      <c r="C237" s="6" t="s">
        <v>49</v>
      </c>
      <c r="D237" s="7"/>
      <c r="E237" s="7"/>
      <c r="F237" s="7"/>
      <c r="G237" s="6"/>
      <c r="H237" s="6"/>
      <c r="I237" s="16"/>
      <c r="J237" s="16">
        <v>-1.384113661892663</v>
      </c>
      <c r="K237" s="6" t="s">
        <v>143</v>
      </c>
      <c r="L237" s="6" t="s">
        <v>50</v>
      </c>
      <c r="M237" s="7">
        <v>982.34249999999997</v>
      </c>
      <c r="N237" s="6" t="s">
        <v>52</v>
      </c>
      <c r="O237" s="6">
        <v>0.56371124245393345</v>
      </c>
    </row>
    <row r="238" spans="1:15" x14ac:dyDescent="0.2">
      <c r="A238" s="6" t="s">
        <v>577</v>
      </c>
      <c r="B238" s="6" t="s">
        <v>578</v>
      </c>
      <c r="C238" s="6" t="s">
        <v>49</v>
      </c>
      <c r="D238" s="7">
        <v>2500</v>
      </c>
      <c r="E238" s="7">
        <v>15</v>
      </c>
      <c r="F238" s="7">
        <v>3.464203233256351</v>
      </c>
      <c r="G238" s="6" t="s">
        <v>335</v>
      </c>
      <c r="H238" s="6"/>
      <c r="I238" s="16"/>
      <c r="J238" s="16">
        <v>-1.504740857521367</v>
      </c>
      <c r="K238" s="6" t="s">
        <v>51</v>
      </c>
      <c r="L238" s="6" t="s">
        <v>50</v>
      </c>
      <c r="M238" s="7">
        <v>875.8900000000001</v>
      </c>
      <c r="N238" s="6" t="s">
        <v>52</v>
      </c>
      <c r="O238" s="6">
        <v>0.56183591795897947</v>
      </c>
    </row>
    <row r="239" spans="1:15" x14ac:dyDescent="0.2">
      <c r="A239" s="6" t="s">
        <v>579</v>
      </c>
      <c r="B239" s="6" t="s">
        <v>580</v>
      </c>
      <c r="C239" s="6" t="s">
        <v>49</v>
      </c>
      <c r="D239" s="7">
        <v>4699</v>
      </c>
      <c r="E239" s="7">
        <v>61</v>
      </c>
      <c r="F239" s="7">
        <v>14.087759815242491</v>
      </c>
      <c r="G239" s="6" t="s">
        <v>335</v>
      </c>
      <c r="H239" s="6"/>
      <c r="I239" s="16"/>
      <c r="J239" s="16">
        <v>-1.504740857521367</v>
      </c>
      <c r="K239" s="6" t="s">
        <v>51</v>
      </c>
      <c r="L239" s="6" t="s">
        <v>50</v>
      </c>
      <c r="M239" s="7">
        <v>1291.9605882352939</v>
      </c>
      <c r="N239" s="6" t="s">
        <v>52</v>
      </c>
      <c r="O239" s="6">
        <v>0.67013097780366282</v>
      </c>
    </row>
    <row r="240" spans="1:15" x14ac:dyDescent="0.2">
      <c r="A240" s="6" t="s">
        <v>581</v>
      </c>
      <c r="B240" s="6" t="s">
        <v>582</v>
      </c>
      <c r="C240" s="6" t="s">
        <v>49</v>
      </c>
      <c r="D240" s="7"/>
      <c r="E240" s="7"/>
      <c r="F240" s="7"/>
      <c r="G240" s="6"/>
      <c r="H240" s="6"/>
      <c r="I240" s="16"/>
      <c r="J240" s="16">
        <v>-1.384113661892663</v>
      </c>
      <c r="K240" s="6" t="s">
        <v>143</v>
      </c>
      <c r="L240" s="6" t="s">
        <v>50</v>
      </c>
      <c r="M240" s="7">
        <v>2588.87</v>
      </c>
      <c r="N240" s="6" t="s">
        <v>52</v>
      </c>
      <c r="O240" s="6">
        <v>0.72880054473077727</v>
      </c>
    </row>
    <row r="241" spans="1:15" x14ac:dyDescent="0.2">
      <c r="A241" s="6" t="s">
        <v>583</v>
      </c>
      <c r="B241" s="6" t="s">
        <v>584</v>
      </c>
      <c r="C241" s="6" t="s">
        <v>49</v>
      </c>
      <c r="D241" s="7">
        <v>4699</v>
      </c>
      <c r="E241" s="7">
        <v>38</v>
      </c>
      <c r="F241" s="7">
        <v>8.7759815242494223</v>
      </c>
      <c r="G241" s="6" t="s">
        <v>335</v>
      </c>
      <c r="H241" s="6"/>
      <c r="I241" s="16"/>
      <c r="J241" s="16">
        <v>-1.504740857521367</v>
      </c>
      <c r="K241" s="6" t="s">
        <v>51</v>
      </c>
      <c r="L241" s="6" t="s">
        <v>50</v>
      </c>
      <c r="M241" s="7">
        <v>1518.8050000000001</v>
      </c>
      <c r="N241" s="6" t="s">
        <v>52</v>
      </c>
      <c r="O241" s="6">
        <v>0.52278988168094653</v>
      </c>
    </row>
    <row r="242" spans="1:15" x14ac:dyDescent="0.2">
      <c r="A242" s="6" t="s">
        <v>585</v>
      </c>
      <c r="B242" s="6" t="s">
        <v>586</v>
      </c>
      <c r="C242" s="6" t="s">
        <v>49</v>
      </c>
      <c r="D242" s="7">
        <v>1199</v>
      </c>
      <c r="E242" s="7">
        <v>59</v>
      </c>
      <c r="F242" s="7">
        <v>13.625866050808311</v>
      </c>
      <c r="G242" s="6" t="s">
        <v>260</v>
      </c>
      <c r="H242" s="6"/>
      <c r="I242" s="16"/>
      <c r="J242" s="16">
        <v>-3.643622761666514</v>
      </c>
      <c r="K242" s="6" t="s">
        <v>51</v>
      </c>
      <c r="L242" s="6" t="s">
        <v>50</v>
      </c>
      <c r="M242" s="7">
        <v>238.94333333333341</v>
      </c>
      <c r="N242" s="6" t="s">
        <v>52</v>
      </c>
      <c r="O242" s="6">
        <v>0.79252387843704775</v>
      </c>
    </row>
    <row r="243" spans="1:15" x14ac:dyDescent="0.2">
      <c r="A243" s="6" t="s">
        <v>587</v>
      </c>
      <c r="B243" s="6" t="s">
        <v>588</v>
      </c>
      <c r="C243" s="6" t="s">
        <v>49</v>
      </c>
      <c r="D243" s="7">
        <v>799</v>
      </c>
      <c r="E243" s="7">
        <v>174</v>
      </c>
      <c r="F243" s="7">
        <v>40.184757505773668</v>
      </c>
      <c r="G243" s="6" t="s">
        <v>267</v>
      </c>
      <c r="H243" s="6"/>
      <c r="I243" s="16"/>
      <c r="J243" s="16">
        <v>-2.6197664336783242</v>
      </c>
      <c r="K243" s="6" t="s">
        <v>51</v>
      </c>
      <c r="L243" s="6" t="s">
        <v>50</v>
      </c>
      <c r="M243" s="7">
        <v>131.39750000000001</v>
      </c>
      <c r="N243" s="6" t="s">
        <v>52</v>
      </c>
      <c r="O243" s="6">
        <v>0.70952962314567403</v>
      </c>
    </row>
    <row r="244" spans="1:15" x14ac:dyDescent="0.2">
      <c r="A244" s="6" t="s">
        <v>589</v>
      </c>
      <c r="B244" s="6" t="s">
        <v>590</v>
      </c>
      <c r="C244" s="6" t="s">
        <v>49</v>
      </c>
      <c r="D244" s="7">
        <v>999</v>
      </c>
      <c r="E244" s="7">
        <v>11</v>
      </c>
      <c r="F244" s="7">
        <v>2.5404157043879909</v>
      </c>
      <c r="G244" s="6" t="s">
        <v>267</v>
      </c>
      <c r="H244" s="6"/>
      <c r="I244" s="16"/>
      <c r="J244" s="16">
        <v>-2.6197664336783242</v>
      </c>
      <c r="K244" s="6" t="s">
        <v>51</v>
      </c>
      <c r="L244" s="6" t="s">
        <v>50</v>
      </c>
      <c r="M244" s="7">
        <v>138.29</v>
      </c>
      <c r="N244" s="6" t="s">
        <v>52</v>
      </c>
      <c r="O244" s="6">
        <v>0.85907948369565224</v>
      </c>
    </row>
    <row r="245" spans="1:15" x14ac:dyDescent="0.2">
      <c r="A245" s="6" t="s">
        <v>591</v>
      </c>
      <c r="B245" s="6" t="s">
        <v>592</v>
      </c>
      <c r="C245" s="6" t="s">
        <v>49</v>
      </c>
      <c r="D245" s="7">
        <v>799</v>
      </c>
      <c r="E245" s="7">
        <v>166</v>
      </c>
      <c r="F245" s="7">
        <v>38.337182448036948</v>
      </c>
      <c r="G245" s="6" t="s">
        <v>267</v>
      </c>
      <c r="H245" s="6"/>
      <c r="I245" s="16"/>
      <c r="J245" s="16">
        <v>-2.6197664336783242</v>
      </c>
      <c r="K245" s="6" t="s">
        <v>51</v>
      </c>
      <c r="L245" s="6" t="s">
        <v>50</v>
      </c>
      <c r="M245" s="7">
        <v>75.760000000000005</v>
      </c>
      <c r="N245" s="6" t="s">
        <v>52</v>
      </c>
      <c r="O245" s="6">
        <v>0.90652683528685996</v>
      </c>
    </row>
    <row r="246" spans="1:15" x14ac:dyDescent="0.2">
      <c r="A246" s="6" t="s">
        <v>593</v>
      </c>
      <c r="B246" s="6" t="s">
        <v>594</v>
      </c>
      <c r="C246" s="6" t="s">
        <v>49</v>
      </c>
      <c r="D246" s="7">
        <v>699</v>
      </c>
      <c r="E246" s="7">
        <v>76</v>
      </c>
      <c r="F246" s="7">
        <v>17.551963048498841</v>
      </c>
      <c r="G246" s="6" t="s">
        <v>267</v>
      </c>
      <c r="H246" s="6"/>
      <c r="I246" s="16"/>
      <c r="J246" s="16">
        <v>-2.6197664336783242</v>
      </c>
      <c r="K246" s="6" t="s">
        <v>51</v>
      </c>
      <c r="L246" s="6" t="s">
        <v>50</v>
      </c>
      <c r="M246" s="7">
        <v>136.12095238095239</v>
      </c>
      <c r="N246" s="6" t="s">
        <v>52</v>
      </c>
      <c r="O246" s="6">
        <v>0.79238167493434497</v>
      </c>
    </row>
    <row r="247" spans="1:15" x14ac:dyDescent="0.2">
      <c r="A247" s="6" t="s">
        <v>595</v>
      </c>
      <c r="B247" s="6" t="s">
        <v>596</v>
      </c>
      <c r="C247" s="6" t="s">
        <v>49</v>
      </c>
      <c r="D247" s="7">
        <v>1399</v>
      </c>
      <c r="E247" s="7">
        <v>15</v>
      </c>
      <c r="F247" s="7">
        <v>3.464203233256351</v>
      </c>
      <c r="G247" s="6" t="s">
        <v>260</v>
      </c>
      <c r="H247" s="6"/>
      <c r="I247" s="16"/>
      <c r="J247" s="16">
        <v>-3.643622761666514</v>
      </c>
      <c r="K247" s="6" t="s">
        <v>51</v>
      </c>
      <c r="L247" s="6" t="s">
        <v>50</v>
      </c>
      <c r="M247" s="7">
        <v>256.53142857142859</v>
      </c>
      <c r="N247" s="6" t="s">
        <v>52</v>
      </c>
      <c r="O247" s="6">
        <v>0.64690366608474847</v>
      </c>
    </row>
    <row r="248" spans="1:15" x14ac:dyDescent="0.2">
      <c r="A248" s="6" t="s">
        <v>597</v>
      </c>
      <c r="B248" s="6" t="s">
        <v>598</v>
      </c>
      <c r="C248" s="6" t="s">
        <v>49</v>
      </c>
      <c r="D248" s="7">
        <v>1699</v>
      </c>
      <c r="E248" s="7">
        <v>11</v>
      </c>
      <c r="F248" s="7">
        <v>2.5404157043879909</v>
      </c>
      <c r="G248" s="6" t="s">
        <v>302</v>
      </c>
      <c r="H248" s="6"/>
      <c r="I248" s="16"/>
      <c r="J248" s="16">
        <v>-1.384113661892663</v>
      </c>
      <c r="K248" s="6" t="s">
        <v>143</v>
      </c>
      <c r="L248" s="6" t="s">
        <v>50</v>
      </c>
      <c r="M248" s="7">
        <v>491.65538461538472</v>
      </c>
      <c r="N248" s="6" t="s">
        <v>52</v>
      </c>
      <c r="O248" s="6">
        <v>0.57783318056828592</v>
      </c>
    </row>
    <row r="249" spans="1:15" x14ac:dyDescent="0.2">
      <c r="A249" s="6" t="s">
        <v>599</v>
      </c>
      <c r="B249" s="6" t="s">
        <v>600</v>
      </c>
      <c r="C249" s="6" t="s">
        <v>49</v>
      </c>
      <c r="D249" s="7"/>
      <c r="E249" s="7"/>
      <c r="F249" s="7"/>
      <c r="G249" s="6"/>
      <c r="H249" s="6"/>
      <c r="I249" s="16"/>
      <c r="J249" s="16">
        <v>-1.384113661892663</v>
      </c>
      <c r="K249" s="6" t="s">
        <v>143</v>
      </c>
      <c r="L249" s="6" t="s">
        <v>50</v>
      </c>
      <c r="M249" s="7">
        <v>614.84125000000006</v>
      </c>
      <c r="N249" s="6" t="s">
        <v>52</v>
      </c>
      <c r="O249" s="6">
        <v>0.58722003814565416</v>
      </c>
    </row>
    <row r="250" spans="1:15" x14ac:dyDescent="0.2">
      <c r="A250" s="6" t="s">
        <v>601</v>
      </c>
      <c r="B250" s="6" t="s">
        <v>602</v>
      </c>
      <c r="C250" s="6" t="s">
        <v>49</v>
      </c>
      <c r="D250" s="7">
        <v>899</v>
      </c>
      <c r="E250" s="7">
        <v>59</v>
      </c>
      <c r="F250" s="7">
        <v>13.625866050808311</v>
      </c>
      <c r="G250" s="6" t="s">
        <v>267</v>
      </c>
      <c r="H250" s="6"/>
      <c r="I250" s="16"/>
      <c r="J250" s="16">
        <v>-2.6197664336783242</v>
      </c>
      <c r="K250" s="6" t="s">
        <v>51</v>
      </c>
      <c r="L250" s="6" t="s">
        <v>50</v>
      </c>
      <c r="M250" s="7">
        <v>130.90285714285719</v>
      </c>
      <c r="N250" s="6" t="s">
        <v>52</v>
      </c>
      <c r="O250" s="6">
        <v>0.69288369665582727</v>
      </c>
    </row>
    <row r="251" spans="1:15" x14ac:dyDescent="0.2">
      <c r="A251" s="6" t="s">
        <v>603</v>
      </c>
      <c r="B251" s="6" t="s">
        <v>604</v>
      </c>
      <c r="C251" s="6" t="s">
        <v>49</v>
      </c>
      <c r="D251" s="7">
        <v>1999</v>
      </c>
      <c r="E251" s="7">
        <v>13</v>
      </c>
      <c r="F251" s="7">
        <v>3.0023094688221712</v>
      </c>
      <c r="G251" s="6" t="s">
        <v>302</v>
      </c>
      <c r="H251" s="6"/>
      <c r="I251" s="16"/>
      <c r="J251" s="16">
        <v>-1.384113661892663</v>
      </c>
      <c r="K251" s="6" t="s">
        <v>143</v>
      </c>
      <c r="L251" s="6" t="s">
        <v>50</v>
      </c>
      <c r="M251" s="7">
        <v>666.01700000000005</v>
      </c>
      <c r="N251" s="6" t="s">
        <v>52</v>
      </c>
      <c r="O251" s="6">
        <v>0.55318005808325255</v>
      </c>
    </row>
    <row r="252" spans="1:15" x14ac:dyDescent="0.2">
      <c r="A252" s="6" t="s">
        <v>605</v>
      </c>
      <c r="B252" s="6" t="s">
        <v>606</v>
      </c>
      <c r="C252" s="6" t="s">
        <v>49</v>
      </c>
      <c r="D252" s="7"/>
      <c r="E252" s="7"/>
      <c r="F252" s="7"/>
      <c r="G252" s="6"/>
      <c r="H252" s="6"/>
      <c r="I252" s="16"/>
      <c r="J252" s="16">
        <v>-1.384113661892663</v>
      </c>
      <c r="K252" s="6" t="s">
        <v>143</v>
      </c>
      <c r="L252" s="6" t="s">
        <v>50</v>
      </c>
      <c r="M252" s="7">
        <v>459.62</v>
      </c>
      <c r="N252" s="6" t="s">
        <v>52</v>
      </c>
      <c r="O252" s="6">
        <v>0.71005551349987395</v>
      </c>
    </row>
    <row r="253" spans="1:15" x14ac:dyDescent="0.2">
      <c r="A253" s="6" t="s">
        <v>607</v>
      </c>
      <c r="B253" s="6" t="s">
        <v>608</v>
      </c>
      <c r="C253" s="6" t="s">
        <v>49</v>
      </c>
      <c r="D253" s="7"/>
      <c r="E253" s="7"/>
      <c r="F253" s="7"/>
      <c r="G253" s="6"/>
      <c r="H253" s="6"/>
      <c r="I253" s="16"/>
      <c r="J253" s="16">
        <v>-1.384113661892663</v>
      </c>
      <c r="K253" s="6" t="s">
        <v>143</v>
      </c>
      <c r="L253" s="6" t="s">
        <v>50</v>
      </c>
      <c r="M253" s="7">
        <v>665.67</v>
      </c>
      <c r="N253" s="6" t="s">
        <v>52</v>
      </c>
      <c r="O253" s="6">
        <v>0.67496582031249996</v>
      </c>
    </row>
    <row r="254" spans="1:15" x14ac:dyDescent="0.2">
      <c r="A254" s="6" t="s">
        <v>609</v>
      </c>
      <c r="B254" s="6" t="s">
        <v>610</v>
      </c>
      <c r="C254" s="6" t="s">
        <v>49</v>
      </c>
      <c r="D254" s="7">
        <v>1299</v>
      </c>
      <c r="E254" s="7">
        <v>68</v>
      </c>
      <c r="F254" s="7">
        <v>15.704387990762131</v>
      </c>
      <c r="G254" s="6" t="s">
        <v>260</v>
      </c>
      <c r="H254" s="6"/>
      <c r="I254" s="16"/>
      <c r="J254" s="16">
        <v>-3.643622761666514</v>
      </c>
      <c r="K254" s="6" t="s">
        <v>51</v>
      </c>
      <c r="L254" s="6" t="s">
        <v>50</v>
      </c>
      <c r="M254" s="7">
        <v>416.55884615384622</v>
      </c>
      <c r="N254" s="6" t="s">
        <v>52</v>
      </c>
      <c r="O254" s="6">
        <v>0.69581332525436146</v>
      </c>
    </row>
    <row r="255" spans="1:15" x14ac:dyDescent="0.2">
      <c r="A255" s="6" t="s">
        <v>611</v>
      </c>
      <c r="B255" s="6" t="s">
        <v>612</v>
      </c>
      <c r="C255" s="6" t="s">
        <v>49</v>
      </c>
      <c r="D255" s="7">
        <v>1199</v>
      </c>
      <c r="E255" s="7">
        <v>85</v>
      </c>
      <c r="F255" s="7">
        <v>19.63048498845265</v>
      </c>
      <c r="G255" s="6" t="s">
        <v>260</v>
      </c>
      <c r="H255" s="6"/>
      <c r="I255" s="16"/>
      <c r="J255" s="16">
        <v>-3.643622761666514</v>
      </c>
      <c r="K255" s="6" t="s">
        <v>51</v>
      </c>
      <c r="L255" s="6" t="s">
        <v>50</v>
      </c>
      <c r="M255" s="7">
        <v>210.31</v>
      </c>
      <c r="N255" s="6" t="s">
        <v>52</v>
      </c>
      <c r="O255" s="6">
        <v>0.66606569709127383</v>
      </c>
    </row>
    <row r="256" spans="1:15" x14ac:dyDescent="0.2">
      <c r="A256" s="6" t="s">
        <v>94</v>
      </c>
      <c r="B256" s="6" t="s">
        <v>95</v>
      </c>
      <c r="C256" s="6" t="s">
        <v>49</v>
      </c>
      <c r="D256" s="7">
        <v>1299</v>
      </c>
      <c r="E256" s="7">
        <v>248</v>
      </c>
      <c r="F256" s="7">
        <v>57.274826789838343</v>
      </c>
      <c r="G256" s="6" t="s">
        <v>260</v>
      </c>
      <c r="H256" s="6"/>
      <c r="I256" s="16"/>
      <c r="J256" s="16">
        <v>-3.643622761666514</v>
      </c>
      <c r="K256" s="6" t="s">
        <v>51</v>
      </c>
      <c r="L256" s="6" t="s">
        <v>50</v>
      </c>
      <c r="M256" s="7">
        <v>248.7941304347826</v>
      </c>
      <c r="N256" s="6" t="s">
        <v>52</v>
      </c>
      <c r="O256" s="6">
        <v>0.72519385594857289</v>
      </c>
    </row>
    <row r="257" spans="1:15" x14ac:dyDescent="0.2">
      <c r="A257" s="6" t="s">
        <v>613</v>
      </c>
      <c r="B257" s="6" t="s">
        <v>614</v>
      </c>
      <c r="C257" s="6" t="s">
        <v>49</v>
      </c>
      <c r="D257" s="7">
        <v>999</v>
      </c>
      <c r="E257" s="7">
        <v>14</v>
      </c>
      <c r="F257" s="7">
        <v>3.2332563510392611</v>
      </c>
      <c r="G257" s="6" t="s">
        <v>267</v>
      </c>
      <c r="H257" s="6"/>
      <c r="I257" s="16"/>
      <c r="J257" s="16">
        <v>-2.6197664336783242</v>
      </c>
      <c r="K257" s="6" t="s">
        <v>51</v>
      </c>
      <c r="L257" s="6" t="s">
        <v>50</v>
      </c>
      <c r="M257" s="7">
        <v>82.13000000000001</v>
      </c>
      <c r="N257" s="6" t="s">
        <v>52</v>
      </c>
      <c r="O257" s="6">
        <v>0.71239222674813307</v>
      </c>
    </row>
    <row r="258" spans="1:15" x14ac:dyDescent="0.2">
      <c r="A258" s="6" t="s">
        <v>615</v>
      </c>
      <c r="B258" s="6" t="s">
        <v>616</v>
      </c>
      <c r="C258" s="6" t="s">
        <v>49</v>
      </c>
      <c r="D258" s="7">
        <v>599</v>
      </c>
      <c r="E258" s="7">
        <v>120</v>
      </c>
      <c r="F258" s="7">
        <v>27.713625866050808</v>
      </c>
      <c r="G258" s="6" t="s">
        <v>220</v>
      </c>
      <c r="H258" s="6"/>
      <c r="I258" s="16"/>
      <c r="J258" s="16">
        <v>-0.79078567053692428</v>
      </c>
      <c r="K258" s="6" t="s">
        <v>51</v>
      </c>
      <c r="L258" s="6" t="s">
        <v>50</v>
      </c>
      <c r="M258" s="7">
        <v>148.88749999999999</v>
      </c>
      <c r="N258" s="6" t="s">
        <v>52</v>
      </c>
      <c r="O258" s="6">
        <v>0.63178304787000439</v>
      </c>
    </row>
    <row r="259" spans="1:15" x14ac:dyDescent="0.2">
      <c r="A259" s="6" t="s">
        <v>617</v>
      </c>
      <c r="B259" s="6" t="s">
        <v>618</v>
      </c>
      <c r="C259" s="6" t="s">
        <v>49</v>
      </c>
      <c r="D259" s="7"/>
      <c r="E259" s="7"/>
      <c r="F259" s="7"/>
      <c r="G259" s="6"/>
      <c r="H259" s="6"/>
      <c r="I259" s="16"/>
      <c r="J259" s="16">
        <v>-1.384113661892663</v>
      </c>
      <c r="K259" s="6" t="s">
        <v>143</v>
      </c>
      <c r="L259" s="6" t="s">
        <v>50</v>
      </c>
      <c r="M259" s="7">
        <v>308.82</v>
      </c>
      <c r="N259" s="6" t="s">
        <v>52</v>
      </c>
      <c r="O259" s="6">
        <v>0.7551638477801268</v>
      </c>
    </row>
    <row r="260" spans="1:15" x14ac:dyDescent="0.2">
      <c r="A260" s="6" t="s">
        <v>619</v>
      </c>
      <c r="B260" s="6" t="s">
        <v>620</v>
      </c>
      <c r="C260" s="6" t="s">
        <v>49</v>
      </c>
      <c r="D260" s="7"/>
      <c r="E260" s="7"/>
      <c r="F260" s="7"/>
      <c r="G260" s="6"/>
      <c r="H260" s="6"/>
      <c r="I260" s="16"/>
      <c r="J260" s="16">
        <v>-1.384113661892663</v>
      </c>
      <c r="K260" s="6" t="s">
        <v>143</v>
      </c>
      <c r="L260" s="6" t="s">
        <v>50</v>
      </c>
      <c r="M260" s="7">
        <v>665.67</v>
      </c>
      <c r="N260" s="6" t="s">
        <v>52</v>
      </c>
      <c r="O260" s="6">
        <v>0.30944807552650688</v>
      </c>
    </row>
    <row r="261" spans="1:15" x14ac:dyDescent="0.2">
      <c r="A261" s="6" t="s">
        <v>621</v>
      </c>
      <c r="B261" s="6" t="s">
        <v>622</v>
      </c>
      <c r="C261" s="6" t="s">
        <v>49</v>
      </c>
      <c r="D261" s="7"/>
      <c r="E261" s="7"/>
      <c r="F261" s="7"/>
      <c r="G261" s="6"/>
      <c r="H261" s="6"/>
      <c r="I261" s="16"/>
      <c r="J261" s="16">
        <v>-1.384113661892663</v>
      </c>
      <c r="K261" s="6" t="s">
        <v>143</v>
      </c>
      <c r="L261" s="6" t="s">
        <v>50</v>
      </c>
      <c r="M261" s="7">
        <v>1898.52</v>
      </c>
      <c r="N261" s="6" t="s">
        <v>52</v>
      </c>
      <c r="O261" s="6">
        <v>0.25998051062171118</v>
      </c>
    </row>
    <row r="262" spans="1:15" x14ac:dyDescent="0.2">
      <c r="A262" s="6" t="s">
        <v>623</v>
      </c>
      <c r="B262" s="6" t="s">
        <v>624</v>
      </c>
      <c r="C262" s="6" t="s">
        <v>49</v>
      </c>
      <c r="D262" s="7"/>
      <c r="E262" s="7"/>
      <c r="F262" s="7"/>
      <c r="G262" s="6"/>
      <c r="H262" s="6"/>
      <c r="I262" s="16"/>
      <c r="J262" s="16">
        <v>-1.384113661892663</v>
      </c>
      <c r="K262" s="6" t="s">
        <v>143</v>
      </c>
      <c r="L262" s="6" t="s">
        <v>50</v>
      </c>
      <c r="M262" s="7">
        <v>398.97</v>
      </c>
      <c r="N262" s="6" t="s">
        <v>52</v>
      </c>
      <c r="O262" s="6">
        <v>0.74539246968730055</v>
      </c>
    </row>
    <row r="263" spans="1:15" x14ac:dyDescent="0.2">
      <c r="A263" s="6" t="s">
        <v>625</v>
      </c>
      <c r="B263" s="6" t="s">
        <v>626</v>
      </c>
      <c r="C263" s="6" t="s">
        <v>49</v>
      </c>
      <c r="D263" s="7">
        <v>2199</v>
      </c>
      <c r="E263" s="7">
        <v>72</v>
      </c>
      <c r="F263" s="7">
        <v>16.628175519630489</v>
      </c>
      <c r="G263" s="6" t="s">
        <v>302</v>
      </c>
      <c r="H263" s="6"/>
      <c r="I263" s="16"/>
      <c r="J263" s="16">
        <v>-1.384113661892663</v>
      </c>
      <c r="K263" s="6" t="s">
        <v>143</v>
      </c>
      <c r="L263" s="6" t="s">
        <v>50</v>
      </c>
      <c r="M263" s="7">
        <v>600.15458333333333</v>
      </c>
      <c r="N263" s="6" t="s">
        <v>52</v>
      </c>
      <c r="O263" s="6">
        <v>0.49144233498375861</v>
      </c>
    </row>
    <row r="264" spans="1:15" x14ac:dyDescent="0.2">
      <c r="A264" s="6" t="s">
        <v>627</v>
      </c>
      <c r="B264" s="6" t="s">
        <v>628</v>
      </c>
      <c r="C264" s="6" t="s">
        <v>49</v>
      </c>
      <c r="D264" s="7">
        <v>899</v>
      </c>
      <c r="E264" s="7">
        <v>15</v>
      </c>
      <c r="F264" s="7">
        <v>3.464203233256351</v>
      </c>
      <c r="G264" s="6" t="s">
        <v>267</v>
      </c>
      <c r="H264" s="6"/>
      <c r="I264" s="16"/>
      <c r="J264" s="16">
        <v>-2.6197664336783242</v>
      </c>
      <c r="K264" s="6" t="s">
        <v>51</v>
      </c>
      <c r="L264" s="6" t="s">
        <v>50</v>
      </c>
      <c r="M264" s="7">
        <v>73.984615384615395</v>
      </c>
      <c r="N264" s="6" t="s">
        <v>52</v>
      </c>
      <c r="O264" s="6">
        <v>0.80774763974224484</v>
      </c>
    </row>
    <row r="265" spans="1:15" x14ac:dyDescent="0.2">
      <c r="A265" s="6" t="s">
        <v>629</v>
      </c>
      <c r="B265" s="6" t="s">
        <v>630</v>
      </c>
      <c r="C265" s="6" t="s">
        <v>49</v>
      </c>
      <c r="D265" s="7"/>
      <c r="E265" s="7"/>
      <c r="F265" s="7"/>
      <c r="G265" s="6"/>
      <c r="H265" s="6"/>
      <c r="I265" s="16"/>
      <c r="J265" s="16">
        <v>-1.384113661892663</v>
      </c>
      <c r="K265" s="6" t="s">
        <v>143</v>
      </c>
      <c r="L265" s="6" t="s">
        <v>50</v>
      </c>
      <c r="M265" s="7">
        <v>134.91999999999999</v>
      </c>
      <c r="N265" s="6" t="s">
        <v>52</v>
      </c>
      <c r="O265" s="6">
        <v>0.82964646464646474</v>
      </c>
    </row>
    <row r="266" spans="1:15" x14ac:dyDescent="0.2">
      <c r="A266" s="6" t="s">
        <v>631</v>
      </c>
      <c r="B266" s="6" t="s">
        <v>632</v>
      </c>
      <c r="C266" s="6" t="s">
        <v>49</v>
      </c>
      <c r="D266" s="7"/>
      <c r="E266" s="7"/>
      <c r="F266" s="7"/>
      <c r="G266" s="6"/>
      <c r="H266" s="6"/>
      <c r="I266" s="16"/>
      <c r="J266" s="16">
        <v>-1.384113661892663</v>
      </c>
      <c r="K266" s="6" t="s">
        <v>143</v>
      </c>
      <c r="L266" s="6" t="s">
        <v>50</v>
      </c>
      <c r="M266" s="7">
        <v>260.23666666666668</v>
      </c>
      <c r="N266" s="6" t="s">
        <v>52</v>
      </c>
      <c r="O266" s="6">
        <v>0.67414207364847223</v>
      </c>
    </row>
    <row r="267" spans="1:15" x14ac:dyDescent="0.2">
      <c r="A267" s="6" t="s">
        <v>633</v>
      </c>
      <c r="B267" s="6" t="s">
        <v>634</v>
      </c>
      <c r="C267" s="6" t="s">
        <v>49</v>
      </c>
      <c r="D267" s="7">
        <v>1699</v>
      </c>
      <c r="E267" s="7">
        <v>83</v>
      </c>
      <c r="F267" s="7">
        <v>19.168591224018471</v>
      </c>
      <c r="G267" s="6" t="s">
        <v>302</v>
      </c>
      <c r="H267" s="6"/>
      <c r="I267" s="16"/>
      <c r="J267" s="16">
        <v>-1.384113661892663</v>
      </c>
      <c r="K267" s="6" t="s">
        <v>143</v>
      </c>
      <c r="L267" s="6" t="s">
        <v>50</v>
      </c>
      <c r="M267" s="7">
        <v>541.63111111111107</v>
      </c>
      <c r="N267" s="6" t="s">
        <v>52</v>
      </c>
      <c r="O267" s="6">
        <v>0.69963152381539218</v>
      </c>
    </row>
    <row r="268" spans="1:15" x14ac:dyDescent="0.2">
      <c r="A268" s="6" t="s">
        <v>635</v>
      </c>
      <c r="B268" s="6" t="s">
        <v>636</v>
      </c>
      <c r="C268" s="6" t="s">
        <v>49</v>
      </c>
      <c r="D268" s="7">
        <v>2799</v>
      </c>
      <c r="E268" s="7">
        <v>53</v>
      </c>
      <c r="F268" s="7">
        <v>12.240184757505769</v>
      </c>
      <c r="G268" s="6" t="s">
        <v>335</v>
      </c>
      <c r="H268" s="6"/>
      <c r="I268" s="16"/>
      <c r="J268" s="16">
        <v>-1.504740857521367</v>
      </c>
      <c r="K268" s="6" t="s">
        <v>51</v>
      </c>
      <c r="L268" s="6" t="s">
        <v>50</v>
      </c>
      <c r="M268" s="7">
        <v>689.49</v>
      </c>
      <c r="N268" s="6" t="s">
        <v>52</v>
      </c>
      <c r="O268" s="6">
        <v>0.50875814964296795</v>
      </c>
    </row>
    <row r="269" spans="1:15" x14ac:dyDescent="0.2">
      <c r="A269" s="6" t="s">
        <v>637</v>
      </c>
      <c r="B269" s="6" t="s">
        <v>638</v>
      </c>
      <c r="C269" s="6" t="s">
        <v>49</v>
      </c>
      <c r="D269" s="7">
        <v>2299</v>
      </c>
      <c r="E269" s="7">
        <v>31</v>
      </c>
      <c r="F269" s="7">
        <v>7.159353348729792</v>
      </c>
      <c r="G269" s="6" t="s">
        <v>302</v>
      </c>
      <c r="H269" s="6"/>
      <c r="I269" s="16"/>
      <c r="J269" s="16">
        <v>-1.384113661892663</v>
      </c>
      <c r="K269" s="6" t="s">
        <v>143</v>
      </c>
      <c r="L269" s="6" t="s">
        <v>50</v>
      </c>
      <c r="M269" s="7">
        <v>527.79999999999995</v>
      </c>
      <c r="N269" s="6" t="s">
        <v>52</v>
      </c>
      <c r="O269" s="6">
        <v>0.60220099044570063</v>
      </c>
    </row>
    <row r="270" spans="1:15" x14ac:dyDescent="0.2">
      <c r="A270" s="6" t="s">
        <v>639</v>
      </c>
      <c r="B270" s="6" t="s">
        <v>640</v>
      </c>
      <c r="C270" s="6" t="s">
        <v>49</v>
      </c>
      <c r="D270" s="7"/>
      <c r="E270" s="7"/>
      <c r="F270" s="7"/>
      <c r="G270" s="6"/>
      <c r="H270" s="6"/>
      <c r="I270" s="16"/>
      <c r="J270" s="16">
        <v>-1.384113661892663</v>
      </c>
      <c r="K270" s="6" t="s">
        <v>143</v>
      </c>
      <c r="L270" s="6" t="s">
        <v>50</v>
      </c>
      <c r="M270" s="7"/>
      <c r="N270" s="6" t="s">
        <v>132</v>
      </c>
      <c r="O270" s="6"/>
    </row>
    <row r="271" spans="1:15" x14ac:dyDescent="0.2">
      <c r="A271" s="6" t="s">
        <v>641</v>
      </c>
      <c r="B271" s="6" t="s">
        <v>642</v>
      </c>
      <c r="C271" s="6" t="s">
        <v>49</v>
      </c>
      <c r="D271" s="7">
        <v>1999</v>
      </c>
      <c r="E271" s="7">
        <v>38</v>
      </c>
      <c r="F271" s="7">
        <v>8.7759815242494223</v>
      </c>
      <c r="G271" s="6" t="s">
        <v>302</v>
      </c>
      <c r="H271" s="6"/>
      <c r="I271" s="16"/>
      <c r="J271" s="16">
        <v>-1.384113661892663</v>
      </c>
      <c r="K271" s="6" t="s">
        <v>143</v>
      </c>
      <c r="L271" s="6" t="s">
        <v>50</v>
      </c>
      <c r="M271" s="7">
        <v>351.7871428571429</v>
      </c>
      <c r="N271" s="6" t="s">
        <v>52</v>
      </c>
      <c r="O271" s="6">
        <v>0.74115854138772941</v>
      </c>
    </row>
    <row r="272" spans="1:15" x14ac:dyDescent="0.2">
      <c r="A272" s="6" t="s">
        <v>643</v>
      </c>
      <c r="B272" s="6" t="s">
        <v>644</v>
      </c>
      <c r="C272" s="6" t="s">
        <v>49</v>
      </c>
      <c r="D272" s="7"/>
      <c r="E272" s="7"/>
      <c r="F272" s="7"/>
      <c r="G272" s="6"/>
      <c r="H272" s="6"/>
      <c r="I272" s="16"/>
      <c r="J272" s="16">
        <v>-1.384113661892663</v>
      </c>
      <c r="K272" s="6" t="s">
        <v>143</v>
      </c>
      <c r="L272" s="6" t="s">
        <v>50</v>
      </c>
      <c r="M272" s="7">
        <v>361.53333333333342</v>
      </c>
      <c r="N272" s="6" t="s">
        <v>52</v>
      </c>
      <c r="O272" s="6">
        <v>0.705857891882119</v>
      </c>
    </row>
    <row r="273" spans="1:15" x14ac:dyDescent="0.2">
      <c r="A273" s="6" t="s">
        <v>196</v>
      </c>
      <c r="B273" s="6" t="s">
        <v>197</v>
      </c>
      <c r="C273" s="6" t="s">
        <v>49</v>
      </c>
      <c r="D273" s="7">
        <v>1799</v>
      </c>
      <c r="E273" s="7">
        <v>21276</v>
      </c>
      <c r="F273" s="7">
        <v>4913.6258660508083</v>
      </c>
      <c r="G273" s="6" t="s">
        <v>302</v>
      </c>
      <c r="H273" s="6"/>
      <c r="I273" s="16"/>
      <c r="J273" s="16">
        <v>-1.384113661892663</v>
      </c>
      <c r="K273" s="6" t="s">
        <v>143</v>
      </c>
      <c r="L273" s="6" t="s">
        <v>50</v>
      </c>
      <c r="M273" s="7">
        <v>614.85899709302328</v>
      </c>
      <c r="N273" s="6" t="s">
        <v>52</v>
      </c>
      <c r="O273" s="6">
        <v>0.55752710890497081</v>
      </c>
    </row>
    <row r="274" spans="1:15" x14ac:dyDescent="0.2">
      <c r="A274" s="6" t="s">
        <v>90</v>
      </c>
      <c r="B274" s="6" t="s">
        <v>91</v>
      </c>
      <c r="C274" s="6" t="s">
        <v>49</v>
      </c>
      <c r="D274" s="7">
        <v>3199</v>
      </c>
      <c r="E274" s="7">
        <v>1158</v>
      </c>
      <c r="F274" s="7">
        <v>267.43648960739029</v>
      </c>
      <c r="G274" s="6" t="s">
        <v>335</v>
      </c>
      <c r="H274" s="6"/>
      <c r="I274" s="16"/>
      <c r="J274" s="16">
        <v>-1.504740857521367</v>
      </c>
      <c r="K274" s="6" t="s">
        <v>51</v>
      </c>
      <c r="L274" s="6" t="s">
        <v>50</v>
      </c>
      <c r="M274" s="7">
        <v>2151.6774722222221</v>
      </c>
      <c r="N274" s="6" t="s">
        <v>52</v>
      </c>
      <c r="O274" s="6">
        <v>0.23478416658245321</v>
      </c>
    </row>
    <row r="275" spans="1:15" x14ac:dyDescent="0.2">
      <c r="A275" s="6" t="s">
        <v>198</v>
      </c>
      <c r="B275" s="6" t="s">
        <v>199</v>
      </c>
      <c r="C275" s="6" t="s">
        <v>49</v>
      </c>
      <c r="D275" s="7">
        <v>1999</v>
      </c>
      <c r="E275" s="7">
        <v>378</v>
      </c>
      <c r="F275" s="7">
        <v>87.297921478060047</v>
      </c>
      <c r="G275" s="6" t="s">
        <v>302</v>
      </c>
      <c r="H275" s="6"/>
      <c r="I275" s="16"/>
      <c r="J275" s="16">
        <v>-1.384113661892663</v>
      </c>
      <c r="K275" s="6" t="s">
        <v>143</v>
      </c>
      <c r="L275" s="6" t="s">
        <v>50</v>
      </c>
      <c r="M275" s="7">
        <v>638.69095238095247</v>
      </c>
      <c r="N275" s="6" t="s">
        <v>52</v>
      </c>
      <c r="O275" s="6">
        <v>0.52978061016949141</v>
      </c>
    </row>
    <row r="276" spans="1:15" x14ac:dyDescent="0.2">
      <c r="A276" s="6" t="s">
        <v>645</v>
      </c>
      <c r="B276" s="6" t="s">
        <v>646</v>
      </c>
      <c r="C276" s="6" t="s">
        <v>49</v>
      </c>
      <c r="D276" s="7"/>
      <c r="E276" s="7"/>
      <c r="F276" s="7"/>
      <c r="G276" s="6"/>
      <c r="H276" s="6"/>
      <c r="I276" s="16"/>
      <c r="J276" s="16">
        <v>-1.384113661892663</v>
      </c>
      <c r="K276" s="6" t="s">
        <v>143</v>
      </c>
      <c r="L276" s="6" t="s">
        <v>50</v>
      </c>
      <c r="M276" s="7">
        <v>767.03000000000009</v>
      </c>
      <c r="N276" s="6" t="s">
        <v>52</v>
      </c>
      <c r="O276" s="6">
        <v>0.60520516808230651</v>
      </c>
    </row>
    <row r="277" spans="1:15" x14ac:dyDescent="0.2">
      <c r="A277" s="6" t="s">
        <v>647</v>
      </c>
      <c r="B277" s="6" t="s">
        <v>648</v>
      </c>
      <c r="C277" s="6" t="s">
        <v>49</v>
      </c>
      <c r="D277" s="7">
        <v>2399</v>
      </c>
      <c r="E277" s="7">
        <v>13</v>
      </c>
      <c r="F277" s="7">
        <v>3.0023094688221712</v>
      </c>
      <c r="G277" s="6" t="s">
        <v>302</v>
      </c>
      <c r="H277" s="6"/>
      <c r="I277" s="16"/>
      <c r="J277" s="16">
        <v>-1.384113661892663</v>
      </c>
      <c r="K277" s="6" t="s">
        <v>143</v>
      </c>
      <c r="L277" s="6" t="s">
        <v>50</v>
      </c>
      <c r="M277" s="7">
        <v>445.24</v>
      </c>
      <c r="N277" s="6" t="s">
        <v>52</v>
      </c>
      <c r="O277" s="6">
        <v>0.69397431602456727</v>
      </c>
    </row>
    <row r="278" spans="1:15" x14ac:dyDescent="0.2">
      <c r="A278" s="6" t="s">
        <v>649</v>
      </c>
      <c r="B278" s="6" t="s">
        <v>650</v>
      </c>
      <c r="C278" s="6" t="s">
        <v>49</v>
      </c>
      <c r="D278" s="7">
        <v>1599</v>
      </c>
      <c r="E278" s="7">
        <v>11</v>
      </c>
      <c r="F278" s="7">
        <v>2.5404157043879909</v>
      </c>
      <c r="G278" s="6" t="s">
        <v>302</v>
      </c>
      <c r="H278" s="6"/>
      <c r="I278" s="16"/>
      <c r="J278" s="16">
        <v>-1.384113661892663</v>
      </c>
      <c r="K278" s="6" t="s">
        <v>143</v>
      </c>
      <c r="L278" s="6" t="s">
        <v>50</v>
      </c>
      <c r="M278" s="7">
        <v>526.17000000000007</v>
      </c>
      <c r="N278" s="6" t="s">
        <v>52</v>
      </c>
      <c r="O278" s="6">
        <v>0.59838488286969249</v>
      </c>
    </row>
    <row r="279" spans="1:15" x14ac:dyDescent="0.2">
      <c r="A279" s="6" t="s">
        <v>651</v>
      </c>
      <c r="B279" s="6" t="s">
        <v>652</v>
      </c>
      <c r="C279" s="6" t="s">
        <v>49</v>
      </c>
      <c r="D279" s="7">
        <v>2199</v>
      </c>
      <c r="E279" s="7">
        <v>53</v>
      </c>
      <c r="F279" s="7">
        <v>12.240184757505769</v>
      </c>
      <c r="G279" s="6" t="s">
        <v>302</v>
      </c>
      <c r="H279" s="6"/>
      <c r="I279" s="16"/>
      <c r="J279" s="16">
        <v>-1.384113661892663</v>
      </c>
      <c r="K279" s="6" t="s">
        <v>143</v>
      </c>
      <c r="L279" s="6" t="s">
        <v>50</v>
      </c>
      <c r="M279" s="7">
        <v>496.17</v>
      </c>
      <c r="N279" s="6" t="s">
        <v>52</v>
      </c>
      <c r="O279" s="6">
        <v>0.61939760344640338</v>
      </c>
    </row>
    <row r="280" spans="1:15" x14ac:dyDescent="0.2">
      <c r="A280" s="6" t="s">
        <v>653</v>
      </c>
      <c r="B280" s="6" t="s">
        <v>654</v>
      </c>
      <c r="C280" s="6" t="s">
        <v>49</v>
      </c>
      <c r="D280" s="7"/>
      <c r="E280" s="7"/>
      <c r="F280" s="7"/>
      <c r="G280" s="6"/>
      <c r="H280" s="6"/>
      <c r="I280" s="16"/>
      <c r="J280" s="16">
        <v>-1.384113661892663</v>
      </c>
      <c r="K280" s="6" t="s">
        <v>143</v>
      </c>
      <c r="L280" s="6" t="s">
        <v>50</v>
      </c>
      <c r="M280" s="7"/>
      <c r="N280" s="6" t="s">
        <v>132</v>
      </c>
      <c r="O280" s="6"/>
    </row>
    <row r="281" spans="1:15" x14ac:dyDescent="0.2">
      <c r="A281" s="6" t="s">
        <v>655</v>
      </c>
      <c r="B281" s="6" t="s">
        <v>656</v>
      </c>
      <c r="C281" s="6" t="s">
        <v>49</v>
      </c>
      <c r="D281" s="7">
        <v>2599</v>
      </c>
      <c r="E281" s="7">
        <v>37</v>
      </c>
      <c r="F281" s="7">
        <v>8.5450346420323324</v>
      </c>
      <c r="G281" s="6" t="s">
        <v>335</v>
      </c>
      <c r="H281" s="6"/>
      <c r="I281" s="16"/>
      <c r="J281" s="16">
        <v>-1.504740857521367</v>
      </c>
      <c r="K281" s="6" t="s">
        <v>51</v>
      </c>
      <c r="L281" s="6" t="s">
        <v>50</v>
      </c>
      <c r="M281" s="7">
        <v>720.51285714285711</v>
      </c>
      <c r="N281" s="6" t="s">
        <v>52</v>
      </c>
      <c r="O281" s="6">
        <v>0.63951663543213177</v>
      </c>
    </row>
    <row r="282" spans="1:15" x14ac:dyDescent="0.2">
      <c r="A282" s="6" t="s">
        <v>657</v>
      </c>
      <c r="B282" s="6" t="s">
        <v>658</v>
      </c>
      <c r="C282" s="6" t="s">
        <v>49</v>
      </c>
      <c r="D282" s="7"/>
      <c r="E282" s="7"/>
      <c r="F282" s="7"/>
      <c r="G282" s="6"/>
      <c r="H282" s="6"/>
      <c r="I282" s="16"/>
      <c r="J282" s="16">
        <v>-1.384113661892663</v>
      </c>
      <c r="K282" s="6" t="s">
        <v>143</v>
      </c>
      <c r="L282" s="6" t="s">
        <v>50</v>
      </c>
      <c r="M282" s="7">
        <v>42.29</v>
      </c>
      <c r="N282" s="6" t="s">
        <v>52</v>
      </c>
      <c r="O282" s="6">
        <v>0.90072769953051635</v>
      </c>
    </row>
    <row r="283" spans="1:15" x14ac:dyDescent="0.2">
      <c r="A283" s="6" t="s">
        <v>659</v>
      </c>
      <c r="B283" s="6" t="s">
        <v>660</v>
      </c>
      <c r="C283" s="6" t="s">
        <v>49</v>
      </c>
      <c r="D283" s="7"/>
      <c r="E283" s="7"/>
      <c r="F283" s="7"/>
      <c r="G283" s="6"/>
      <c r="H283" s="6"/>
      <c r="I283" s="16"/>
      <c r="J283" s="16">
        <v>-1.384113661892663</v>
      </c>
      <c r="K283" s="6" t="s">
        <v>143</v>
      </c>
      <c r="L283" s="6" t="s">
        <v>50</v>
      </c>
      <c r="M283" s="7">
        <v>442.41185714285712</v>
      </c>
      <c r="N283" s="6" t="s">
        <v>52</v>
      </c>
      <c r="O283" s="6">
        <v>0.76385809600061016</v>
      </c>
    </row>
    <row r="284" spans="1:15" x14ac:dyDescent="0.2">
      <c r="A284" s="6" t="s">
        <v>661</v>
      </c>
      <c r="B284" s="6" t="s">
        <v>662</v>
      </c>
      <c r="C284" s="6" t="s">
        <v>49</v>
      </c>
      <c r="D284" s="7">
        <v>1699</v>
      </c>
      <c r="E284" s="7">
        <v>12</v>
      </c>
      <c r="F284" s="7">
        <v>2.7713625866050808</v>
      </c>
      <c r="G284" s="6" t="s">
        <v>302</v>
      </c>
      <c r="H284" s="6"/>
      <c r="I284" s="16"/>
      <c r="J284" s="16">
        <v>-1.384113661892663</v>
      </c>
      <c r="K284" s="6" t="s">
        <v>143</v>
      </c>
      <c r="L284" s="6" t="s">
        <v>50</v>
      </c>
      <c r="M284" s="7">
        <v>641.97571428571428</v>
      </c>
      <c r="N284" s="6" t="s">
        <v>52</v>
      </c>
      <c r="O284" s="6">
        <v>0.66481464906392185</v>
      </c>
    </row>
    <row r="285" spans="1:15" x14ac:dyDescent="0.2">
      <c r="A285" s="6" t="s">
        <v>663</v>
      </c>
      <c r="B285" s="6" t="s">
        <v>664</v>
      </c>
      <c r="C285" s="6" t="s">
        <v>49</v>
      </c>
      <c r="D285" s="7">
        <v>1799</v>
      </c>
      <c r="E285" s="7">
        <v>65</v>
      </c>
      <c r="F285" s="7">
        <v>15.01154734411085</v>
      </c>
      <c r="G285" s="6" t="s">
        <v>302</v>
      </c>
      <c r="H285" s="6"/>
      <c r="I285" s="16"/>
      <c r="J285" s="16">
        <v>-1.384113661892663</v>
      </c>
      <c r="K285" s="6" t="s">
        <v>143</v>
      </c>
      <c r="L285" s="6" t="s">
        <v>50</v>
      </c>
      <c r="M285" s="7">
        <v>858.75999999999988</v>
      </c>
      <c r="N285" s="6" t="s">
        <v>52</v>
      </c>
      <c r="O285" s="6">
        <v>0.59007982179320584</v>
      </c>
    </row>
    <row r="286" spans="1:15" x14ac:dyDescent="0.2">
      <c r="A286" s="6" t="s">
        <v>665</v>
      </c>
      <c r="B286" s="6" t="s">
        <v>666</v>
      </c>
      <c r="C286" s="6" t="s">
        <v>49</v>
      </c>
      <c r="D286" s="7"/>
      <c r="E286" s="7"/>
      <c r="F286" s="7"/>
      <c r="G286" s="6"/>
      <c r="H286" s="6"/>
      <c r="I286" s="16"/>
      <c r="J286" s="16">
        <v>-1.384113661892663</v>
      </c>
      <c r="K286" s="6" t="s">
        <v>143</v>
      </c>
      <c r="L286" s="6" t="s">
        <v>50</v>
      </c>
      <c r="M286" s="7">
        <v>439.8</v>
      </c>
      <c r="N286" s="6" t="s">
        <v>52</v>
      </c>
      <c r="O286" s="6">
        <v>0.52272320095550917</v>
      </c>
    </row>
    <row r="287" spans="1:15" x14ac:dyDescent="0.2">
      <c r="A287" s="6" t="s">
        <v>65</v>
      </c>
      <c r="B287" s="6" t="s">
        <v>66</v>
      </c>
      <c r="C287" s="6" t="s">
        <v>49</v>
      </c>
      <c r="D287" s="7">
        <v>1499</v>
      </c>
      <c r="E287" s="7">
        <v>1497</v>
      </c>
      <c r="F287" s="7">
        <v>345.72748267898379</v>
      </c>
      <c r="G287" s="6" t="s">
        <v>260</v>
      </c>
      <c r="H287" s="6"/>
      <c r="I287" s="16"/>
      <c r="J287" s="16">
        <v>-3.643622761666514</v>
      </c>
      <c r="K287" s="6" t="s">
        <v>51</v>
      </c>
      <c r="L287" s="6" t="s">
        <v>50</v>
      </c>
      <c r="M287" s="7">
        <v>473.97386904761902</v>
      </c>
      <c r="N287" s="6" t="s">
        <v>52</v>
      </c>
      <c r="O287" s="6">
        <v>0.56261471143687469</v>
      </c>
    </row>
    <row r="288" spans="1:15" x14ac:dyDescent="0.2">
      <c r="A288" s="6" t="s">
        <v>200</v>
      </c>
      <c r="B288" s="6" t="s">
        <v>201</v>
      </c>
      <c r="C288" s="6" t="s">
        <v>49</v>
      </c>
      <c r="D288" s="7">
        <v>1799</v>
      </c>
      <c r="E288" s="7">
        <v>313</v>
      </c>
      <c r="F288" s="7">
        <v>72.286374133949195</v>
      </c>
      <c r="G288" s="6" t="s">
        <v>302</v>
      </c>
      <c r="H288" s="6"/>
      <c r="I288" s="16"/>
      <c r="J288" s="16">
        <v>-1.384113661892663</v>
      </c>
      <c r="K288" s="6" t="s">
        <v>143</v>
      </c>
      <c r="L288" s="6" t="s">
        <v>50</v>
      </c>
      <c r="M288" s="7">
        <v>609.66499999999996</v>
      </c>
      <c r="N288" s="6" t="s">
        <v>52</v>
      </c>
      <c r="O288" s="6">
        <v>0.58120927310798676</v>
      </c>
    </row>
    <row r="289" spans="1:15" x14ac:dyDescent="0.2">
      <c r="A289" s="6" t="s">
        <v>667</v>
      </c>
      <c r="B289" s="6" t="s">
        <v>668</v>
      </c>
      <c r="C289" s="6" t="s">
        <v>49</v>
      </c>
      <c r="D289" s="7">
        <v>2499</v>
      </c>
      <c r="E289" s="7">
        <v>149</v>
      </c>
      <c r="F289" s="7">
        <v>34.41108545034642</v>
      </c>
      <c r="G289" s="6" t="s">
        <v>302</v>
      </c>
      <c r="H289" s="6"/>
      <c r="I289" s="16"/>
      <c r="J289" s="16">
        <v>-1.384113661892663</v>
      </c>
      <c r="K289" s="6" t="s">
        <v>143</v>
      </c>
      <c r="L289" s="6" t="s">
        <v>50</v>
      </c>
      <c r="M289" s="7">
        <v>1088.7574999999999</v>
      </c>
      <c r="N289" s="6" t="s">
        <v>52</v>
      </c>
      <c r="O289" s="6">
        <v>0.50092778574844576</v>
      </c>
    </row>
    <row r="290" spans="1:15" x14ac:dyDescent="0.2">
      <c r="A290" s="6" t="s">
        <v>669</v>
      </c>
      <c r="B290" s="6" t="s">
        <v>670</v>
      </c>
      <c r="C290" s="6" t="s">
        <v>49</v>
      </c>
      <c r="D290" s="7">
        <v>5499</v>
      </c>
      <c r="E290" s="7">
        <v>37</v>
      </c>
      <c r="F290" s="7">
        <v>8.5450346420323324</v>
      </c>
      <c r="G290" s="6" t="s">
        <v>335</v>
      </c>
      <c r="H290" s="6"/>
      <c r="I290" s="16"/>
      <c r="J290" s="16">
        <v>-1.504740857521367</v>
      </c>
      <c r="K290" s="6" t="s">
        <v>51</v>
      </c>
      <c r="L290" s="6" t="s">
        <v>50</v>
      </c>
      <c r="M290" s="7">
        <v>2513.6155555555561</v>
      </c>
      <c r="N290" s="6" t="s">
        <v>52</v>
      </c>
      <c r="O290" s="6">
        <v>0.53120917791682121</v>
      </c>
    </row>
    <row r="291" spans="1:15" x14ac:dyDescent="0.2">
      <c r="A291" s="6" t="s">
        <v>671</v>
      </c>
      <c r="B291" s="6" t="s">
        <v>672</v>
      </c>
      <c r="C291" s="6" t="s">
        <v>49</v>
      </c>
      <c r="D291" s="7">
        <v>5499</v>
      </c>
      <c r="E291" s="7">
        <v>18</v>
      </c>
      <c r="F291" s="7">
        <v>4.1570438799076213</v>
      </c>
      <c r="G291" s="6" t="s">
        <v>335</v>
      </c>
      <c r="H291" s="6"/>
      <c r="I291" s="16"/>
      <c r="J291" s="16">
        <v>-1.504740857521367</v>
      </c>
      <c r="K291" s="6" t="s">
        <v>51</v>
      </c>
      <c r="L291" s="6" t="s">
        <v>50</v>
      </c>
      <c r="M291" s="7">
        <v>2280.1633333333339</v>
      </c>
      <c r="N291" s="6" t="s">
        <v>52</v>
      </c>
      <c r="O291" s="6">
        <v>0.53680811163611619</v>
      </c>
    </row>
    <row r="292" spans="1:15" x14ac:dyDescent="0.2">
      <c r="A292" s="6" t="s">
        <v>673</v>
      </c>
      <c r="B292" s="6" t="s">
        <v>674</v>
      </c>
      <c r="C292" s="6" t="s">
        <v>49</v>
      </c>
      <c r="D292" s="7">
        <v>699</v>
      </c>
      <c r="E292" s="7">
        <v>22</v>
      </c>
      <c r="F292" s="7">
        <v>5.0808314087759818</v>
      </c>
      <c r="G292" s="6" t="s">
        <v>267</v>
      </c>
      <c r="H292" s="6"/>
      <c r="I292" s="16"/>
      <c r="J292" s="16">
        <v>-2.6197664336783242</v>
      </c>
      <c r="K292" s="6" t="s">
        <v>51</v>
      </c>
      <c r="L292" s="6" t="s">
        <v>50</v>
      </c>
      <c r="M292" s="7">
        <v>96.91</v>
      </c>
      <c r="N292" s="6" t="s">
        <v>52</v>
      </c>
      <c r="O292" s="6">
        <v>0.75345274745778523</v>
      </c>
    </row>
    <row r="293" spans="1:15" x14ac:dyDescent="0.2">
      <c r="A293" s="6" t="s">
        <v>675</v>
      </c>
      <c r="B293" s="6" t="s">
        <v>676</v>
      </c>
      <c r="C293" s="6" t="s">
        <v>49</v>
      </c>
      <c r="D293" s="7">
        <v>749</v>
      </c>
      <c r="E293" s="7">
        <v>15</v>
      </c>
      <c r="F293" s="7">
        <v>3.464203233256351</v>
      </c>
      <c r="G293" s="6" t="s">
        <v>267</v>
      </c>
      <c r="H293" s="6"/>
      <c r="I293" s="16"/>
      <c r="J293" s="16">
        <v>-2.6197664336783242</v>
      </c>
      <c r="K293" s="6" t="s">
        <v>51</v>
      </c>
      <c r="L293" s="6" t="s">
        <v>50</v>
      </c>
      <c r="M293" s="7">
        <v>119</v>
      </c>
      <c r="N293" s="6" t="s">
        <v>52</v>
      </c>
      <c r="O293" s="6">
        <v>0.83500866551126518</v>
      </c>
    </row>
    <row r="294" spans="1:15" x14ac:dyDescent="0.2">
      <c r="A294" s="6" t="s">
        <v>202</v>
      </c>
      <c r="B294" s="6" t="s">
        <v>203</v>
      </c>
      <c r="C294" s="6" t="s">
        <v>49</v>
      </c>
      <c r="D294" s="7">
        <v>1799</v>
      </c>
      <c r="E294" s="7">
        <v>1110</v>
      </c>
      <c r="F294" s="7">
        <v>256.35103926097003</v>
      </c>
      <c r="G294" s="6" t="s">
        <v>302</v>
      </c>
      <c r="H294" s="6"/>
      <c r="I294" s="16"/>
      <c r="J294" s="16">
        <v>-1.384113661892663</v>
      </c>
      <c r="K294" s="6" t="s">
        <v>143</v>
      </c>
      <c r="L294" s="6" t="s">
        <v>50</v>
      </c>
      <c r="M294" s="7">
        <v>582.82058510638296</v>
      </c>
      <c r="N294" s="6" t="s">
        <v>52</v>
      </c>
      <c r="O294" s="6">
        <v>0.55603606524111537</v>
      </c>
    </row>
    <row r="295" spans="1:15" x14ac:dyDescent="0.2">
      <c r="A295" s="6" t="s">
        <v>677</v>
      </c>
      <c r="B295" s="6" t="s">
        <v>678</v>
      </c>
      <c r="C295" s="6" t="s">
        <v>49</v>
      </c>
      <c r="D295" s="7"/>
      <c r="E295" s="7"/>
      <c r="F295" s="7"/>
      <c r="G295" s="6"/>
      <c r="H295" s="6"/>
      <c r="I295" s="16"/>
      <c r="J295" s="16">
        <v>-1.384113661892663</v>
      </c>
      <c r="K295" s="6" t="s">
        <v>143</v>
      </c>
      <c r="L295" s="6" t="s">
        <v>50</v>
      </c>
      <c r="M295" s="7">
        <v>150.91</v>
      </c>
      <c r="N295" s="6" t="s">
        <v>52</v>
      </c>
      <c r="O295" s="6">
        <v>0.57940823327615787</v>
      </c>
    </row>
    <row r="296" spans="1:15" x14ac:dyDescent="0.2">
      <c r="A296" s="6" t="s">
        <v>679</v>
      </c>
      <c r="B296" s="6" t="s">
        <v>680</v>
      </c>
      <c r="C296" s="6" t="s">
        <v>49</v>
      </c>
      <c r="D296" s="7"/>
      <c r="E296" s="7"/>
      <c r="F296" s="7"/>
      <c r="G296" s="6"/>
      <c r="H296" s="6"/>
      <c r="I296" s="16"/>
      <c r="J296" s="16">
        <v>-1.384113661892663</v>
      </c>
      <c r="K296" s="6" t="s">
        <v>143</v>
      </c>
      <c r="L296" s="6" t="s">
        <v>50</v>
      </c>
      <c r="M296" s="7">
        <v>244.69</v>
      </c>
      <c r="N296" s="6" t="s">
        <v>52</v>
      </c>
      <c r="O296" s="6">
        <v>0.83291908501194944</v>
      </c>
    </row>
    <row r="297" spans="1:15" x14ac:dyDescent="0.2">
      <c r="A297" s="6" t="s">
        <v>681</v>
      </c>
      <c r="B297" s="6" t="s">
        <v>682</v>
      </c>
      <c r="C297" s="6" t="s">
        <v>49</v>
      </c>
      <c r="D297" s="7">
        <v>2199</v>
      </c>
      <c r="E297" s="7">
        <v>68</v>
      </c>
      <c r="F297" s="7">
        <v>15.704387990762131</v>
      </c>
      <c r="G297" s="6" t="s">
        <v>302</v>
      </c>
      <c r="H297" s="6"/>
      <c r="I297" s="16"/>
      <c r="J297" s="16">
        <v>-1.384113661892663</v>
      </c>
      <c r="K297" s="6" t="s">
        <v>143</v>
      </c>
      <c r="L297" s="6" t="s">
        <v>50</v>
      </c>
      <c r="M297" s="7">
        <v>689.57066666666674</v>
      </c>
      <c r="N297" s="6" t="s">
        <v>52</v>
      </c>
      <c r="O297" s="6">
        <v>0.52364500513422318</v>
      </c>
    </row>
    <row r="298" spans="1:15" x14ac:dyDescent="0.2">
      <c r="A298" s="6" t="s">
        <v>683</v>
      </c>
      <c r="B298" s="6" t="s">
        <v>684</v>
      </c>
      <c r="C298" s="6" t="s">
        <v>49</v>
      </c>
      <c r="D298" s="7"/>
      <c r="E298" s="7"/>
      <c r="F298" s="7"/>
      <c r="G298" s="6"/>
      <c r="H298" s="6"/>
      <c r="I298" s="16"/>
      <c r="J298" s="16">
        <v>-1.384113661892663</v>
      </c>
      <c r="K298" s="6" t="s">
        <v>143</v>
      </c>
      <c r="L298" s="6" t="s">
        <v>50</v>
      </c>
      <c r="M298" s="7">
        <v>289.66399999999999</v>
      </c>
      <c r="N298" s="6" t="s">
        <v>52</v>
      </c>
      <c r="O298" s="6">
        <v>0.73618943533697634</v>
      </c>
    </row>
    <row r="299" spans="1:15" x14ac:dyDescent="0.2">
      <c r="A299" s="6" t="s">
        <v>78</v>
      </c>
      <c r="B299" s="6" t="s">
        <v>79</v>
      </c>
      <c r="C299" s="6" t="s">
        <v>49</v>
      </c>
      <c r="D299" s="7">
        <v>899</v>
      </c>
      <c r="E299" s="7">
        <v>1800</v>
      </c>
      <c r="F299" s="7">
        <v>415.70438799076209</v>
      </c>
      <c r="G299" s="6" t="s">
        <v>267</v>
      </c>
      <c r="H299" s="6"/>
      <c r="I299" s="16"/>
      <c r="J299" s="16">
        <v>-2.6197664336783242</v>
      </c>
      <c r="K299" s="6" t="s">
        <v>51</v>
      </c>
      <c r="L299" s="6" t="s">
        <v>50</v>
      </c>
      <c r="M299" s="7">
        <v>184.0253459119497</v>
      </c>
      <c r="N299" s="6" t="s">
        <v>52</v>
      </c>
      <c r="O299" s="6">
        <v>0.7476689057297049</v>
      </c>
    </row>
    <row r="300" spans="1:15" x14ac:dyDescent="0.2">
      <c r="A300" s="6" t="s">
        <v>685</v>
      </c>
      <c r="B300" s="6" t="s">
        <v>686</v>
      </c>
      <c r="C300" s="6" t="s">
        <v>49</v>
      </c>
      <c r="D300" s="7"/>
      <c r="E300" s="7"/>
      <c r="F300" s="7"/>
      <c r="G300" s="6"/>
      <c r="H300" s="6"/>
      <c r="I300" s="16"/>
      <c r="J300" s="16">
        <v>-1.384113661892663</v>
      </c>
      <c r="K300" s="6" t="s">
        <v>143</v>
      </c>
      <c r="L300" s="6" t="s">
        <v>50</v>
      </c>
      <c r="M300" s="7">
        <v>600.18333333333339</v>
      </c>
      <c r="N300" s="6" t="s">
        <v>52</v>
      </c>
      <c r="O300" s="6">
        <v>0.44123605902693219</v>
      </c>
    </row>
    <row r="301" spans="1:15" x14ac:dyDescent="0.2">
      <c r="A301" s="6" t="s">
        <v>687</v>
      </c>
      <c r="B301" s="6" t="s">
        <v>688</v>
      </c>
      <c r="C301" s="6" t="s">
        <v>49</v>
      </c>
      <c r="D301" s="7">
        <v>1599</v>
      </c>
      <c r="E301" s="7">
        <v>51</v>
      </c>
      <c r="F301" s="7">
        <v>11.77829099307159</v>
      </c>
      <c r="G301" s="6" t="s">
        <v>302</v>
      </c>
      <c r="H301" s="6"/>
      <c r="I301" s="16"/>
      <c r="J301" s="16">
        <v>-1.384113661892663</v>
      </c>
      <c r="K301" s="6" t="s">
        <v>143</v>
      </c>
      <c r="L301" s="6" t="s">
        <v>50</v>
      </c>
      <c r="M301" s="7">
        <v>398.07</v>
      </c>
      <c r="N301" s="6" t="s">
        <v>52</v>
      </c>
      <c r="O301" s="6">
        <v>0.50032633238188562</v>
      </c>
    </row>
    <row r="302" spans="1:15" x14ac:dyDescent="0.2">
      <c r="A302" s="6" t="s">
        <v>689</v>
      </c>
      <c r="B302" s="6" t="s">
        <v>690</v>
      </c>
      <c r="C302" s="6" t="s">
        <v>49</v>
      </c>
      <c r="D302" s="7"/>
      <c r="E302" s="7"/>
      <c r="F302" s="7"/>
      <c r="G302" s="6"/>
      <c r="H302" s="6"/>
      <c r="I302" s="16"/>
      <c r="J302" s="16">
        <v>-1.384113661892663</v>
      </c>
      <c r="K302" s="6" t="s">
        <v>143</v>
      </c>
      <c r="L302" s="6" t="s">
        <v>50</v>
      </c>
      <c r="M302" s="7"/>
      <c r="N302" s="6" t="s">
        <v>132</v>
      </c>
      <c r="O302" s="6"/>
    </row>
    <row r="303" spans="1:15" x14ac:dyDescent="0.2">
      <c r="A303" s="6" t="s">
        <v>691</v>
      </c>
      <c r="B303" s="6" t="s">
        <v>692</v>
      </c>
      <c r="C303" s="6" t="s">
        <v>49</v>
      </c>
      <c r="D303" s="7"/>
      <c r="E303" s="7"/>
      <c r="F303" s="7"/>
      <c r="G303" s="6"/>
      <c r="H303" s="6"/>
      <c r="I303" s="16"/>
      <c r="J303" s="16">
        <v>-1.384113661892663</v>
      </c>
      <c r="K303" s="6" t="s">
        <v>143</v>
      </c>
      <c r="L303" s="6" t="s">
        <v>50</v>
      </c>
      <c r="M303" s="7">
        <v>314.56</v>
      </c>
      <c r="N303" s="6" t="s">
        <v>52</v>
      </c>
      <c r="O303" s="6">
        <v>0.60649080180492887</v>
      </c>
    </row>
    <row r="304" spans="1:15" x14ac:dyDescent="0.2">
      <c r="A304" s="6" t="s">
        <v>693</v>
      </c>
      <c r="B304" s="6" t="s">
        <v>694</v>
      </c>
      <c r="C304" s="6" t="s">
        <v>49</v>
      </c>
      <c r="D304" s="7"/>
      <c r="E304" s="7"/>
      <c r="F304" s="7"/>
      <c r="G304" s="6"/>
      <c r="H304" s="6"/>
      <c r="I304" s="16"/>
      <c r="J304" s="16">
        <v>-1.384113661892663</v>
      </c>
      <c r="K304" s="6" t="s">
        <v>143</v>
      </c>
      <c r="L304" s="6" t="s">
        <v>50</v>
      </c>
      <c r="M304" s="7">
        <v>891.12999999999977</v>
      </c>
      <c r="N304" s="6" t="s">
        <v>52</v>
      </c>
      <c r="O304" s="6">
        <v>0.58321849501359924</v>
      </c>
    </row>
    <row r="305" spans="1:15" x14ac:dyDescent="0.2">
      <c r="A305" s="6" t="s">
        <v>204</v>
      </c>
      <c r="B305" s="6" t="s">
        <v>205</v>
      </c>
      <c r="C305" s="6" t="s">
        <v>49</v>
      </c>
      <c r="D305" s="7">
        <v>2299</v>
      </c>
      <c r="E305" s="7">
        <v>267</v>
      </c>
      <c r="F305" s="7">
        <v>61.662817551963037</v>
      </c>
      <c r="G305" s="6" t="s">
        <v>302</v>
      </c>
      <c r="H305" s="6"/>
      <c r="I305" s="16"/>
      <c r="J305" s="16">
        <v>-1.384113661892663</v>
      </c>
      <c r="K305" s="6" t="s">
        <v>143</v>
      </c>
      <c r="L305" s="6" t="s">
        <v>50</v>
      </c>
      <c r="M305" s="7">
        <v>505.76799999999997</v>
      </c>
      <c r="N305" s="6" t="s">
        <v>52</v>
      </c>
      <c r="O305" s="6">
        <v>0.67543382873319191</v>
      </c>
    </row>
    <row r="306" spans="1:15" x14ac:dyDescent="0.2">
      <c r="A306" s="6" t="s">
        <v>695</v>
      </c>
      <c r="B306" s="6" t="s">
        <v>696</v>
      </c>
      <c r="C306" s="6" t="s">
        <v>49</v>
      </c>
      <c r="D306" s="7">
        <v>2799</v>
      </c>
      <c r="E306" s="7">
        <v>26</v>
      </c>
      <c r="F306" s="7">
        <v>6.0046189376443424</v>
      </c>
      <c r="G306" s="6" t="s">
        <v>335</v>
      </c>
      <c r="H306" s="6"/>
      <c r="I306" s="16"/>
      <c r="J306" s="16">
        <v>-1.504740857521367</v>
      </c>
      <c r="K306" s="6" t="s">
        <v>51</v>
      </c>
      <c r="L306" s="6" t="s">
        <v>50</v>
      </c>
      <c r="M306" s="7">
        <v>666.31461538461542</v>
      </c>
      <c r="N306" s="6" t="s">
        <v>52</v>
      </c>
      <c r="O306" s="6">
        <v>0.67850764327450863</v>
      </c>
    </row>
    <row r="307" spans="1:15" x14ac:dyDescent="0.2">
      <c r="A307" s="6" t="s">
        <v>697</v>
      </c>
      <c r="B307" s="6" t="s">
        <v>698</v>
      </c>
      <c r="C307" s="6" t="s">
        <v>49</v>
      </c>
      <c r="D307" s="7">
        <v>1199</v>
      </c>
      <c r="E307" s="7">
        <v>62</v>
      </c>
      <c r="F307" s="7">
        <v>14.31870669745958</v>
      </c>
      <c r="G307" s="6" t="s">
        <v>260</v>
      </c>
      <c r="H307" s="6"/>
      <c r="I307" s="16"/>
      <c r="J307" s="16">
        <v>-3.643622761666514</v>
      </c>
      <c r="K307" s="6" t="s">
        <v>51</v>
      </c>
      <c r="L307" s="6" t="s">
        <v>50</v>
      </c>
      <c r="M307" s="7">
        <v>227.11</v>
      </c>
      <c r="N307" s="6" t="s">
        <v>52</v>
      </c>
      <c r="O307" s="6">
        <v>0.60994630369630365</v>
      </c>
    </row>
    <row r="308" spans="1:15" x14ac:dyDescent="0.2">
      <c r="A308" s="6" t="s">
        <v>699</v>
      </c>
      <c r="B308" s="6" t="s">
        <v>700</v>
      </c>
      <c r="C308" s="6" t="s">
        <v>49</v>
      </c>
      <c r="D308" s="7">
        <v>1299</v>
      </c>
      <c r="E308" s="7">
        <v>26</v>
      </c>
      <c r="F308" s="7">
        <v>6.0046189376443424</v>
      </c>
      <c r="G308" s="6" t="s">
        <v>260</v>
      </c>
      <c r="H308" s="6"/>
      <c r="I308" s="16"/>
      <c r="J308" s="16">
        <v>-3.643622761666514</v>
      </c>
      <c r="K308" s="6" t="s">
        <v>51</v>
      </c>
      <c r="L308" s="6" t="s">
        <v>50</v>
      </c>
      <c r="M308" s="7">
        <v>406.03399999999999</v>
      </c>
      <c r="N308" s="6" t="s">
        <v>52</v>
      </c>
      <c r="O308" s="6">
        <v>0.71704947735191638</v>
      </c>
    </row>
    <row r="309" spans="1:15" x14ac:dyDescent="0.2">
      <c r="A309" s="6" t="s">
        <v>701</v>
      </c>
      <c r="B309" s="6" t="s">
        <v>702</v>
      </c>
      <c r="C309" s="6" t="s">
        <v>49</v>
      </c>
      <c r="D309" s="7">
        <v>1399</v>
      </c>
      <c r="E309" s="7">
        <v>50</v>
      </c>
      <c r="F309" s="7">
        <v>11.5473441108545</v>
      </c>
      <c r="G309" s="6" t="s">
        <v>260</v>
      </c>
      <c r="H309" s="6"/>
      <c r="I309" s="16"/>
      <c r="J309" s="16">
        <v>-3.643622761666514</v>
      </c>
      <c r="K309" s="6" t="s">
        <v>51</v>
      </c>
      <c r="L309" s="6" t="s">
        <v>50</v>
      </c>
      <c r="M309" s="7">
        <v>359.4842857142857</v>
      </c>
      <c r="N309" s="6" t="s">
        <v>52</v>
      </c>
      <c r="O309" s="6">
        <v>0.69038573686984006</v>
      </c>
    </row>
    <row r="310" spans="1:15" x14ac:dyDescent="0.2">
      <c r="A310" s="6" t="s">
        <v>703</v>
      </c>
      <c r="B310" s="6" t="s">
        <v>704</v>
      </c>
      <c r="C310" s="6" t="s">
        <v>49</v>
      </c>
      <c r="D310" s="7"/>
      <c r="E310" s="7"/>
      <c r="F310" s="7"/>
      <c r="G310" s="6"/>
      <c r="H310" s="6"/>
      <c r="I310" s="16"/>
      <c r="J310" s="16">
        <v>-1.384113661892663</v>
      </c>
      <c r="K310" s="6" t="s">
        <v>143</v>
      </c>
      <c r="L310" s="6" t="s">
        <v>50</v>
      </c>
      <c r="M310" s="7">
        <v>469.81466666666671</v>
      </c>
      <c r="N310" s="6" t="s">
        <v>52</v>
      </c>
      <c r="O310" s="6">
        <v>0.65095021675290166</v>
      </c>
    </row>
    <row r="311" spans="1:15" x14ac:dyDescent="0.2">
      <c r="A311" s="6" t="s">
        <v>705</v>
      </c>
      <c r="B311" s="6" t="s">
        <v>706</v>
      </c>
      <c r="C311" s="6" t="s">
        <v>49</v>
      </c>
      <c r="D311" s="7"/>
      <c r="E311" s="7"/>
      <c r="F311" s="7"/>
      <c r="G311" s="6"/>
      <c r="H311" s="6"/>
      <c r="I311" s="16"/>
      <c r="J311" s="16">
        <v>-1.384113661892663</v>
      </c>
      <c r="K311" s="6" t="s">
        <v>143</v>
      </c>
      <c r="L311" s="6" t="s">
        <v>50</v>
      </c>
      <c r="M311" s="7"/>
      <c r="N311" s="6" t="s">
        <v>132</v>
      </c>
      <c r="O311" s="6"/>
    </row>
    <row r="312" spans="1:15" x14ac:dyDescent="0.2">
      <c r="A312" s="6" t="s">
        <v>707</v>
      </c>
      <c r="B312" s="6" t="s">
        <v>708</v>
      </c>
      <c r="C312" s="6" t="s">
        <v>49</v>
      </c>
      <c r="D312" s="7"/>
      <c r="E312" s="7"/>
      <c r="F312" s="7"/>
      <c r="G312" s="6"/>
      <c r="H312" s="6"/>
      <c r="I312" s="16"/>
      <c r="J312" s="16">
        <v>-1.384113661892663</v>
      </c>
      <c r="K312" s="6" t="s">
        <v>143</v>
      </c>
      <c r="L312" s="6" t="s">
        <v>50</v>
      </c>
      <c r="M312" s="7"/>
      <c r="N312" s="6" t="s">
        <v>132</v>
      </c>
      <c r="O312" s="6"/>
    </row>
    <row r="313" spans="1:15" x14ac:dyDescent="0.2">
      <c r="A313" s="6" t="s">
        <v>709</v>
      </c>
      <c r="B313" s="6" t="s">
        <v>710</v>
      </c>
      <c r="C313" s="6" t="s">
        <v>49</v>
      </c>
      <c r="D313" s="7">
        <v>699</v>
      </c>
      <c r="E313" s="7">
        <v>14</v>
      </c>
      <c r="F313" s="7">
        <v>3.2332563510392611</v>
      </c>
      <c r="G313" s="6" t="s">
        <v>267</v>
      </c>
      <c r="H313" s="6"/>
      <c r="I313" s="16"/>
      <c r="J313" s="16">
        <v>-2.6197664336783242</v>
      </c>
      <c r="K313" s="6" t="s">
        <v>51</v>
      </c>
      <c r="L313" s="6" t="s">
        <v>50</v>
      </c>
      <c r="M313" s="7">
        <v>174.78</v>
      </c>
      <c r="N313" s="6" t="s">
        <v>52</v>
      </c>
      <c r="O313" s="6">
        <v>0.75657381615598884</v>
      </c>
    </row>
    <row r="314" spans="1:15" x14ac:dyDescent="0.2">
      <c r="A314" s="6" t="s">
        <v>711</v>
      </c>
      <c r="B314" s="6" t="s">
        <v>712</v>
      </c>
      <c r="C314" s="6" t="s">
        <v>49</v>
      </c>
      <c r="D314" s="7">
        <v>3099</v>
      </c>
      <c r="E314" s="7">
        <v>107</v>
      </c>
      <c r="F314" s="7">
        <v>24.711316397228639</v>
      </c>
      <c r="G314" s="6" t="s">
        <v>335</v>
      </c>
      <c r="H314" s="6"/>
      <c r="I314" s="16"/>
      <c r="J314" s="16">
        <v>-1.504740857521367</v>
      </c>
      <c r="K314" s="6" t="s">
        <v>51</v>
      </c>
      <c r="L314" s="6" t="s">
        <v>50</v>
      </c>
      <c r="M314" s="7">
        <v>1210.9345652173911</v>
      </c>
      <c r="N314" s="6" t="s">
        <v>52</v>
      </c>
      <c r="O314" s="6">
        <v>0.58019975882968944</v>
      </c>
    </row>
    <row r="315" spans="1:15" x14ac:dyDescent="0.2">
      <c r="A315" s="6" t="s">
        <v>713</v>
      </c>
      <c r="B315" s="6" t="s">
        <v>714</v>
      </c>
      <c r="C315" s="6" t="s">
        <v>49</v>
      </c>
      <c r="D315" s="7">
        <v>3599</v>
      </c>
      <c r="E315" s="7">
        <v>13</v>
      </c>
      <c r="F315" s="7">
        <v>3.0023094688221712</v>
      </c>
      <c r="G315" s="6" t="s">
        <v>335</v>
      </c>
      <c r="H315" s="6"/>
      <c r="I315" s="16"/>
      <c r="J315" s="16">
        <v>-1.504740857521367</v>
      </c>
      <c r="K315" s="6" t="s">
        <v>51</v>
      </c>
      <c r="L315" s="6" t="s">
        <v>50</v>
      </c>
      <c r="M315" s="7">
        <v>1108.42</v>
      </c>
      <c r="N315" s="6" t="s">
        <v>52</v>
      </c>
      <c r="O315" s="6">
        <v>0.54287084556019494</v>
      </c>
    </row>
    <row r="316" spans="1:15" x14ac:dyDescent="0.2">
      <c r="A316" s="6" t="s">
        <v>715</v>
      </c>
      <c r="B316" s="6" t="s">
        <v>716</v>
      </c>
      <c r="C316" s="6" t="s">
        <v>49</v>
      </c>
      <c r="D316" s="7"/>
      <c r="E316" s="7"/>
      <c r="F316" s="7"/>
      <c r="G316" s="6"/>
      <c r="H316" s="6"/>
      <c r="I316" s="16"/>
      <c r="J316" s="16">
        <v>-1.384113661892663</v>
      </c>
      <c r="K316" s="6" t="s">
        <v>143</v>
      </c>
      <c r="L316" s="6" t="s">
        <v>50</v>
      </c>
      <c r="M316" s="7">
        <v>445.43999999999988</v>
      </c>
      <c r="N316" s="6" t="s">
        <v>52</v>
      </c>
      <c r="O316" s="6">
        <v>0.66985207673922886</v>
      </c>
    </row>
    <row r="317" spans="1:15" x14ac:dyDescent="0.2">
      <c r="A317" s="6" t="s">
        <v>717</v>
      </c>
      <c r="B317" s="6" t="s">
        <v>718</v>
      </c>
      <c r="C317" s="6" t="s">
        <v>49</v>
      </c>
      <c r="D317" s="7">
        <v>3099</v>
      </c>
      <c r="E317" s="7">
        <v>149</v>
      </c>
      <c r="F317" s="7">
        <v>34.41108545034642</v>
      </c>
      <c r="G317" s="6" t="s">
        <v>335</v>
      </c>
      <c r="H317" s="6"/>
      <c r="I317" s="16"/>
      <c r="J317" s="16">
        <v>-1.504740857521367</v>
      </c>
      <c r="K317" s="6" t="s">
        <v>51</v>
      </c>
      <c r="L317" s="6" t="s">
        <v>50</v>
      </c>
      <c r="M317" s="7">
        <v>1054.7785365853661</v>
      </c>
      <c r="N317" s="6" t="s">
        <v>52</v>
      </c>
      <c r="O317" s="6">
        <v>0.54689217057084671</v>
      </c>
    </row>
    <row r="318" spans="1:15" x14ac:dyDescent="0.2">
      <c r="A318" s="6" t="s">
        <v>719</v>
      </c>
      <c r="B318" s="6" t="s">
        <v>720</v>
      </c>
      <c r="C318" s="6" t="s">
        <v>49</v>
      </c>
      <c r="D318" s="7">
        <v>3599</v>
      </c>
      <c r="E318" s="7">
        <v>15</v>
      </c>
      <c r="F318" s="7">
        <v>3.464203233256351</v>
      </c>
      <c r="G318" s="6" t="s">
        <v>335</v>
      </c>
      <c r="H318" s="6"/>
      <c r="I318" s="16"/>
      <c r="J318" s="16">
        <v>-1.504740857521367</v>
      </c>
      <c r="K318" s="6" t="s">
        <v>51</v>
      </c>
      <c r="L318" s="6" t="s">
        <v>50</v>
      </c>
      <c r="M318" s="7">
        <v>1221.5452380952379</v>
      </c>
      <c r="N318" s="6" t="s">
        <v>52</v>
      </c>
      <c r="O318" s="6">
        <v>0.58103609989021887</v>
      </c>
    </row>
    <row r="319" spans="1:15" x14ac:dyDescent="0.2">
      <c r="A319" s="6" t="s">
        <v>721</v>
      </c>
      <c r="B319" s="6" t="s">
        <v>722</v>
      </c>
      <c r="C319" s="6" t="s">
        <v>49</v>
      </c>
      <c r="D319" s="7"/>
      <c r="E319" s="7"/>
      <c r="F319" s="7"/>
      <c r="G319" s="6"/>
      <c r="H319" s="6"/>
      <c r="I319" s="16"/>
      <c r="J319" s="16">
        <v>-1.384113661892663</v>
      </c>
      <c r="K319" s="6" t="s">
        <v>143</v>
      </c>
      <c r="L319" s="6" t="s">
        <v>50</v>
      </c>
      <c r="M319" s="7">
        <v>340.32142857142861</v>
      </c>
      <c r="N319" s="6" t="s">
        <v>52</v>
      </c>
      <c r="O319" s="6">
        <v>0.72179726731285765</v>
      </c>
    </row>
    <row r="320" spans="1:15" x14ac:dyDescent="0.2">
      <c r="A320" s="6" t="s">
        <v>96</v>
      </c>
      <c r="B320" s="6" t="s">
        <v>97</v>
      </c>
      <c r="C320" s="6" t="s">
        <v>49</v>
      </c>
      <c r="D320" s="7">
        <v>1299</v>
      </c>
      <c r="E320" s="7">
        <v>308</v>
      </c>
      <c r="F320" s="7">
        <v>71.131639722863738</v>
      </c>
      <c r="G320" s="6" t="s">
        <v>260</v>
      </c>
      <c r="H320" s="6"/>
      <c r="I320" s="16"/>
      <c r="J320" s="16">
        <v>-3.643622761666514</v>
      </c>
      <c r="K320" s="6" t="s">
        <v>51</v>
      </c>
      <c r="L320" s="6" t="s">
        <v>50</v>
      </c>
      <c r="M320" s="7">
        <v>375.16070175438603</v>
      </c>
      <c r="N320" s="6" t="s">
        <v>52</v>
      </c>
      <c r="O320" s="6">
        <v>0.61325046921805282</v>
      </c>
    </row>
    <row r="321" spans="1:15" x14ac:dyDescent="0.2">
      <c r="A321" s="6" t="s">
        <v>206</v>
      </c>
      <c r="B321" s="6" t="s">
        <v>207</v>
      </c>
      <c r="C321" s="6" t="s">
        <v>56</v>
      </c>
      <c r="D321" s="7">
        <v>385.62150017283102</v>
      </c>
      <c r="E321" s="7">
        <v>2893</v>
      </c>
      <c r="F321" s="7">
        <v>668.12933025404152</v>
      </c>
      <c r="G321" s="6" t="s">
        <v>220</v>
      </c>
      <c r="H321" s="6">
        <v>1</v>
      </c>
      <c r="I321" s="16">
        <v>1.4489169960360611</v>
      </c>
      <c r="J321" s="16">
        <v>1.4489169960360611</v>
      </c>
      <c r="K321" s="6" t="s">
        <v>58</v>
      </c>
      <c r="L321" s="6" t="s">
        <v>63</v>
      </c>
      <c r="M321" s="7">
        <v>51.659292035398231</v>
      </c>
      <c r="N321" s="6" t="s">
        <v>52</v>
      </c>
      <c r="O321" s="6">
        <v>0.82976196492646692</v>
      </c>
    </row>
    <row r="322" spans="1:15" x14ac:dyDescent="0.2">
      <c r="A322" s="6" t="s">
        <v>723</v>
      </c>
      <c r="B322" s="6" t="s">
        <v>724</v>
      </c>
      <c r="C322" s="6" t="s">
        <v>49</v>
      </c>
      <c r="D322" s="7">
        <v>1499</v>
      </c>
      <c r="E322" s="7">
        <v>100</v>
      </c>
      <c r="F322" s="7">
        <v>23.09468822170901</v>
      </c>
      <c r="G322" s="6" t="s">
        <v>260</v>
      </c>
      <c r="H322" s="6"/>
      <c r="I322" s="16"/>
      <c r="J322" s="16">
        <v>-3.643622761666514</v>
      </c>
      <c r="K322" s="6" t="s">
        <v>51</v>
      </c>
      <c r="L322" s="6" t="s">
        <v>50</v>
      </c>
      <c r="M322" s="7">
        <v>154.84</v>
      </c>
      <c r="N322" s="6" t="s">
        <v>52</v>
      </c>
      <c r="O322" s="6">
        <v>0.88062995594713667</v>
      </c>
    </row>
    <row r="323" spans="1:15" x14ac:dyDescent="0.2">
      <c r="A323" s="6" t="s">
        <v>725</v>
      </c>
      <c r="B323" s="6" t="s">
        <v>726</v>
      </c>
      <c r="C323" s="6" t="s">
        <v>49</v>
      </c>
      <c r="D323" s="7">
        <v>1299</v>
      </c>
      <c r="E323" s="7">
        <v>49</v>
      </c>
      <c r="F323" s="7">
        <v>11.31639722863741</v>
      </c>
      <c r="G323" s="6" t="s">
        <v>260</v>
      </c>
      <c r="H323" s="6"/>
      <c r="I323" s="16"/>
      <c r="J323" s="16">
        <v>-3.643622761666514</v>
      </c>
      <c r="K323" s="6" t="s">
        <v>51</v>
      </c>
      <c r="L323" s="6" t="s">
        <v>50</v>
      </c>
      <c r="M323" s="7">
        <v>448.58705882352939</v>
      </c>
      <c r="N323" s="6" t="s">
        <v>52</v>
      </c>
      <c r="O323" s="6">
        <v>0.47172709706751542</v>
      </c>
    </row>
    <row r="324" spans="1:15" x14ac:dyDescent="0.2">
      <c r="A324" s="6" t="s">
        <v>727</v>
      </c>
      <c r="B324" s="6" t="s">
        <v>728</v>
      </c>
      <c r="C324" s="6" t="s">
        <v>56</v>
      </c>
      <c r="D324" s="7">
        <v>1015.8270676691729</v>
      </c>
      <c r="E324" s="7">
        <v>133</v>
      </c>
      <c r="F324" s="7">
        <v>30.715935334872981</v>
      </c>
      <c r="G324" s="6" t="s">
        <v>260</v>
      </c>
      <c r="H324" s="6"/>
      <c r="I324" s="16"/>
      <c r="J324" s="16">
        <v>3.1718382023897091</v>
      </c>
      <c r="K324" s="6" t="s">
        <v>51</v>
      </c>
      <c r="L324" s="6" t="s">
        <v>50</v>
      </c>
      <c r="M324" s="7">
        <v>110</v>
      </c>
      <c r="N324" s="6" t="s">
        <v>52</v>
      </c>
      <c r="O324" s="6">
        <v>0.5791899901218307</v>
      </c>
    </row>
    <row r="325" spans="1:15" x14ac:dyDescent="0.2">
      <c r="A325" s="6" t="s">
        <v>729</v>
      </c>
      <c r="B325" s="6" t="s">
        <v>730</v>
      </c>
      <c r="C325" s="6" t="s">
        <v>56</v>
      </c>
      <c r="D325" s="7"/>
      <c r="E325" s="7"/>
      <c r="F325" s="7"/>
      <c r="G325" s="6"/>
      <c r="H325" s="6">
        <v>1</v>
      </c>
      <c r="I325" s="16">
        <v>-0.44391261346432898</v>
      </c>
      <c r="J325" s="16">
        <v>-0.44391261346432898</v>
      </c>
      <c r="K325" s="6" t="s">
        <v>58</v>
      </c>
      <c r="L325" s="6" t="s">
        <v>63</v>
      </c>
      <c r="M325" s="7">
        <v>110</v>
      </c>
      <c r="N325" s="6" t="s">
        <v>52</v>
      </c>
      <c r="O325" s="6">
        <v>0.86650485436893199</v>
      </c>
    </row>
    <row r="326" spans="1:15" x14ac:dyDescent="0.2">
      <c r="A326" s="6" t="s">
        <v>731</v>
      </c>
      <c r="B326" s="6" t="s">
        <v>732</v>
      </c>
      <c r="C326" s="6" t="s">
        <v>56</v>
      </c>
      <c r="D326" s="7"/>
      <c r="E326" s="7"/>
      <c r="F326" s="7"/>
      <c r="G326" s="6"/>
      <c r="H326" s="6"/>
      <c r="I326" s="16"/>
      <c r="J326" s="16">
        <v>-1.08034578285814</v>
      </c>
      <c r="K326" s="6" t="s">
        <v>143</v>
      </c>
      <c r="L326" s="6" t="s">
        <v>50</v>
      </c>
      <c r="M326" s="7"/>
      <c r="N326" s="6" t="s">
        <v>132</v>
      </c>
      <c r="O326" s="6"/>
    </row>
    <row r="327" spans="1:15" x14ac:dyDescent="0.2">
      <c r="A327" s="6" t="s">
        <v>733</v>
      </c>
      <c r="B327" s="6" t="s">
        <v>734</v>
      </c>
      <c r="C327" s="6" t="s">
        <v>56</v>
      </c>
      <c r="D327" s="7">
        <v>588</v>
      </c>
      <c r="E327" s="7">
        <v>105</v>
      </c>
      <c r="F327" s="7">
        <v>24.24942263279446</v>
      </c>
      <c r="G327" s="6" t="s">
        <v>220</v>
      </c>
      <c r="H327" s="6"/>
      <c r="I327" s="16"/>
      <c r="J327" s="16">
        <v>-1.273147819780216</v>
      </c>
      <c r="K327" s="6" t="s">
        <v>51</v>
      </c>
      <c r="L327" s="6" t="s">
        <v>50</v>
      </c>
      <c r="M327" s="7">
        <v>108.9</v>
      </c>
      <c r="N327" s="6" t="s">
        <v>52</v>
      </c>
      <c r="O327" s="6">
        <v>0.86298439859084042</v>
      </c>
    </row>
    <row r="328" spans="1:15" x14ac:dyDescent="0.2">
      <c r="A328" s="6" t="s">
        <v>208</v>
      </c>
      <c r="B328" s="6" t="s">
        <v>209</v>
      </c>
      <c r="C328" s="6" t="s">
        <v>56</v>
      </c>
      <c r="D328" s="7">
        <v>321.99026425591097</v>
      </c>
      <c r="E328" s="7">
        <v>1438</v>
      </c>
      <c r="F328" s="7">
        <v>332.10161662817552</v>
      </c>
      <c r="G328" s="6" t="s">
        <v>220</v>
      </c>
      <c r="H328" s="6">
        <v>4</v>
      </c>
      <c r="I328" s="16">
        <v>0.17387845339582639</v>
      </c>
      <c r="J328" s="16">
        <v>0.17387845339582639</v>
      </c>
      <c r="K328" s="6" t="s">
        <v>58</v>
      </c>
      <c r="L328" s="6" t="s">
        <v>63</v>
      </c>
      <c r="M328" s="7">
        <v>88.534999999999997</v>
      </c>
      <c r="N328" s="6" t="s">
        <v>52</v>
      </c>
      <c r="O328" s="6">
        <v>0.88302283880709709</v>
      </c>
    </row>
    <row r="329" spans="1:15" x14ac:dyDescent="0.2">
      <c r="A329" s="6" t="s">
        <v>735</v>
      </c>
      <c r="B329" s="6" t="s">
        <v>736</v>
      </c>
      <c r="C329" s="6" t="s">
        <v>56</v>
      </c>
      <c r="D329" s="7">
        <v>436.64150943396231</v>
      </c>
      <c r="E329" s="7">
        <v>212</v>
      </c>
      <c r="F329" s="7">
        <v>48.960739030023092</v>
      </c>
      <c r="G329" s="6" t="s">
        <v>220</v>
      </c>
      <c r="H329" s="6"/>
      <c r="I329" s="16"/>
      <c r="J329" s="16">
        <v>-1.273147819780216</v>
      </c>
      <c r="K329" s="6" t="s">
        <v>51</v>
      </c>
      <c r="L329" s="6" t="s">
        <v>50</v>
      </c>
      <c r="M329" s="7">
        <v>20</v>
      </c>
      <c r="N329" s="6" t="s">
        <v>52</v>
      </c>
      <c r="O329" s="6">
        <v>0.47907949790794979</v>
      </c>
    </row>
    <row r="330" spans="1:15" x14ac:dyDescent="0.2">
      <c r="A330" s="6" t="s">
        <v>737</v>
      </c>
      <c r="B330" s="6" t="s">
        <v>738</v>
      </c>
      <c r="C330" s="6" t="s">
        <v>56</v>
      </c>
      <c r="D330" s="7">
        <v>249</v>
      </c>
      <c r="E330" s="7">
        <v>175</v>
      </c>
      <c r="F330" s="7">
        <v>40.415704387990758</v>
      </c>
      <c r="G330" s="6" t="s">
        <v>247</v>
      </c>
      <c r="H330" s="6">
        <v>1</v>
      </c>
      <c r="I330" s="16">
        <v>0.1480963461812351</v>
      </c>
      <c r="J330" s="16">
        <v>0.1480963461812351</v>
      </c>
      <c r="K330" s="6" t="s">
        <v>58</v>
      </c>
      <c r="L330" s="6" t="s">
        <v>63</v>
      </c>
      <c r="M330" s="7">
        <v>20</v>
      </c>
      <c r="N330" s="6" t="s">
        <v>52</v>
      </c>
      <c r="O330" s="6">
        <v>0.92452830188679247</v>
      </c>
    </row>
    <row r="331" spans="1:15" x14ac:dyDescent="0.2">
      <c r="A331" s="6" t="s">
        <v>210</v>
      </c>
      <c r="B331" s="6" t="s">
        <v>211</v>
      </c>
      <c r="C331" s="6" t="s">
        <v>56</v>
      </c>
      <c r="D331" s="7">
        <v>389.23121387283243</v>
      </c>
      <c r="E331" s="7">
        <v>346</v>
      </c>
      <c r="F331" s="7">
        <v>79.90762124711317</v>
      </c>
      <c r="G331" s="6" t="s">
        <v>220</v>
      </c>
      <c r="H331" s="6"/>
      <c r="I331" s="16"/>
      <c r="J331" s="16">
        <v>-1.273147819780216</v>
      </c>
      <c r="K331" s="6" t="s">
        <v>51</v>
      </c>
      <c r="L331" s="6" t="s">
        <v>50</v>
      </c>
      <c r="M331" s="7">
        <v>34.83</v>
      </c>
      <c r="N331" s="6" t="s">
        <v>52</v>
      </c>
      <c r="O331" s="6">
        <v>0.90990688049663737</v>
      </c>
    </row>
    <row r="332" spans="1:15" x14ac:dyDescent="0.2">
      <c r="A332" s="6" t="s">
        <v>739</v>
      </c>
      <c r="B332" s="6" t="s">
        <v>740</v>
      </c>
      <c r="C332" s="6" t="s">
        <v>56</v>
      </c>
      <c r="D332" s="7"/>
      <c r="E332" s="7"/>
      <c r="F332" s="7"/>
      <c r="G332" s="6"/>
      <c r="H332" s="6"/>
      <c r="I332" s="16"/>
      <c r="J332" s="16">
        <v>-1.08034578285814</v>
      </c>
      <c r="K332" s="6" t="s">
        <v>143</v>
      </c>
      <c r="L332" s="6" t="s">
        <v>50</v>
      </c>
      <c r="M332" s="7">
        <v>412.78</v>
      </c>
      <c r="N332" s="6" t="s">
        <v>52</v>
      </c>
      <c r="O332" s="6">
        <v>0.81627002967359052</v>
      </c>
    </row>
    <row r="333" spans="1:15" x14ac:dyDescent="0.2">
      <c r="A333" s="6" t="s">
        <v>741</v>
      </c>
      <c r="B333" s="6" t="s">
        <v>742</v>
      </c>
      <c r="C333" s="6" t="s">
        <v>56</v>
      </c>
      <c r="D333" s="7"/>
      <c r="E333" s="7"/>
      <c r="F333" s="7"/>
      <c r="G333" s="6"/>
      <c r="H333" s="6"/>
      <c r="I333" s="16"/>
      <c r="J333" s="16">
        <v>-1.08034578285814</v>
      </c>
      <c r="K333" s="6" t="s">
        <v>143</v>
      </c>
      <c r="L333" s="6" t="s">
        <v>50</v>
      </c>
      <c r="M333" s="7"/>
      <c r="N333" s="6" t="s">
        <v>132</v>
      </c>
      <c r="O333" s="6"/>
    </row>
    <row r="334" spans="1:15" x14ac:dyDescent="0.2">
      <c r="A334" s="6" t="s">
        <v>743</v>
      </c>
      <c r="B334" s="6" t="s">
        <v>744</v>
      </c>
      <c r="C334" s="6" t="s">
        <v>56</v>
      </c>
      <c r="D334" s="7">
        <v>399</v>
      </c>
      <c r="E334" s="7">
        <v>100</v>
      </c>
      <c r="F334" s="7">
        <v>23.09468822170901</v>
      </c>
      <c r="G334" s="6" t="s">
        <v>220</v>
      </c>
      <c r="H334" s="6">
        <v>3</v>
      </c>
      <c r="I334" s="16">
        <v>-0.1055991260187122</v>
      </c>
      <c r="J334" s="16">
        <v>-0.1055991260187122</v>
      </c>
      <c r="K334" s="6" t="s">
        <v>58</v>
      </c>
      <c r="L334" s="6" t="s">
        <v>57</v>
      </c>
      <c r="M334" s="7">
        <v>43.636363636363633</v>
      </c>
      <c r="N334" s="6" t="s">
        <v>52</v>
      </c>
      <c r="O334" s="6">
        <v>0.90345937248592112</v>
      </c>
    </row>
    <row r="335" spans="1:15" x14ac:dyDescent="0.2">
      <c r="A335" s="6" t="s">
        <v>745</v>
      </c>
      <c r="B335" s="6" t="s">
        <v>746</v>
      </c>
      <c r="C335" s="6" t="s">
        <v>56</v>
      </c>
      <c r="D335" s="7">
        <v>149</v>
      </c>
      <c r="E335" s="7">
        <v>128</v>
      </c>
      <c r="F335" s="7">
        <v>29.561200923787531</v>
      </c>
      <c r="G335" s="6" t="s">
        <v>247</v>
      </c>
      <c r="H335" s="6">
        <v>2</v>
      </c>
      <c r="I335" s="16">
        <v>-3.0356223390721651</v>
      </c>
      <c r="J335" s="16">
        <v>-3.0356223390721651</v>
      </c>
      <c r="K335" s="6" t="s">
        <v>58</v>
      </c>
      <c r="L335" s="6" t="s">
        <v>57</v>
      </c>
      <c r="M335" s="7">
        <v>410.54199999999997</v>
      </c>
      <c r="N335" s="6" t="s">
        <v>52</v>
      </c>
      <c r="O335" s="6">
        <v>0.76016941231452273</v>
      </c>
    </row>
    <row r="336" spans="1:15" x14ac:dyDescent="0.2">
      <c r="A336" s="6" t="s">
        <v>104</v>
      </c>
      <c r="B336" s="6" t="s">
        <v>105</v>
      </c>
      <c r="C336" s="6" t="s">
        <v>56</v>
      </c>
      <c r="D336" s="7">
        <v>245.88836104513061</v>
      </c>
      <c r="E336" s="7">
        <v>421</v>
      </c>
      <c r="F336" s="7">
        <v>97.228637413394921</v>
      </c>
      <c r="G336" s="6" t="s">
        <v>247</v>
      </c>
      <c r="H336" s="6">
        <v>2</v>
      </c>
      <c r="I336" s="16">
        <v>-3.733754834493539</v>
      </c>
      <c r="J336" s="16">
        <v>-3.733754834493539</v>
      </c>
      <c r="K336" s="6" t="s">
        <v>58</v>
      </c>
      <c r="L336" s="6" t="s">
        <v>63</v>
      </c>
      <c r="M336" s="7">
        <v>28.333333333333329</v>
      </c>
      <c r="N336" s="6" t="s">
        <v>52</v>
      </c>
      <c r="O336" s="6">
        <v>0.86533717105263153</v>
      </c>
    </row>
    <row r="337" spans="1:15" x14ac:dyDescent="0.2">
      <c r="A337" s="6" t="s">
        <v>747</v>
      </c>
      <c r="B337" s="6" t="s">
        <v>748</v>
      </c>
      <c r="C337" s="6" t="s">
        <v>56</v>
      </c>
      <c r="D337" s="7">
        <v>249</v>
      </c>
      <c r="E337" s="7">
        <v>13</v>
      </c>
      <c r="F337" s="7">
        <v>3.0023094688221712</v>
      </c>
      <c r="G337" s="6" t="s">
        <v>247</v>
      </c>
      <c r="H337" s="6"/>
      <c r="I337" s="16"/>
      <c r="J337" s="16">
        <v>-1.2244635497835541</v>
      </c>
      <c r="K337" s="6" t="s">
        <v>51</v>
      </c>
      <c r="L337" s="6" t="s">
        <v>50</v>
      </c>
      <c r="M337" s="7">
        <v>74.7</v>
      </c>
      <c r="N337" s="6" t="s">
        <v>132</v>
      </c>
      <c r="O337" s="6"/>
    </row>
    <row r="338" spans="1:15" x14ac:dyDescent="0.2">
      <c r="A338" s="6" t="s">
        <v>749</v>
      </c>
      <c r="B338" s="6" t="s">
        <v>750</v>
      </c>
      <c r="C338" s="6" t="s">
        <v>56</v>
      </c>
      <c r="D338" s="7">
        <v>3399</v>
      </c>
      <c r="E338" s="7">
        <v>16</v>
      </c>
      <c r="F338" s="7">
        <v>3.695150115473441</v>
      </c>
      <c r="G338" s="6" t="s">
        <v>335</v>
      </c>
      <c r="H338" s="6"/>
      <c r="I338" s="16"/>
      <c r="J338" s="16">
        <v>-2.4226511382014659</v>
      </c>
      <c r="K338" s="6" t="s">
        <v>51</v>
      </c>
      <c r="L338" s="6" t="s">
        <v>50</v>
      </c>
      <c r="M338" s="7">
        <v>1117.2</v>
      </c>
      <c r="N338" s="6" t="s">
        <v>52</v>
      </c>
      <c r="O338" s="6">
        <v>0.45430909090909088</v>
      </c>
    </row>
    <row r="339" spans="1:15" x14ac:dyDescent="0.2">
      <c r="A339" s="6" t="s">
        <v>751</v>
      </c>
      <c r="B339" s="6" t="s">
        <v>752</v>
      </c>
      <c r="C339" s="6" t="s">
        <v>56</v>
      </c>
      <c r="D339" s="7">
        <v>749</v>
      </c>
      <c r="E339" s="7">
        <v>14</v>
      </c>
      <c r="F339" s="7">
        <v>3.2332563510392611</v>
      </c>
      <c r="G339" s="6" t="s">
        <v>267</v>
      </c>
      <c r="H339" s="6"/>
      <c r="I339" s="16"/>
      <c r="J339" s="16">
        <v>-2.3697537837821541</v>
      </c>
      <c r="K339" s="6" t="s">
        <v>51</v>
      </c>
      <c r="L339" s="6" t="s">
        <v>50</v>
      </c>
      <c r="M339" s="7">
        <v>122.89</v>
      </c>
      <c r="N339" s="6" t="s">
        <v>52</v>
      </c>
      <c r="O339" s="6">
        <v>0.67941739130434786</v>
      </c>
    </row>
    <row r="340" spans="1:15" x14ac:dyDescent="0.2">
      <c r="A340" s="6" t="s">
        <v>753</v>
      </c>
      <c r="B340" s="6" t="s">
        <v>754</v>
      </c>
      <c r="C340" s="6" t="s">
        <v>56</v>
      </c>
      <c r="D340" s="7"/>
      <c r="E340" s="7"/>
      <c r="F340" s="7"/>
      <c r="G340" s="6"/>
      <c r="H340" s="6"/>
      <c r="I340" s="16"/>
      <c r="J340" s="16">
        <v>-1.08034578285814</v>
      </c>
      <c r="K340" s="6" t="s">
        <v>143</v>
      </c>
      <c r="L340" s="6" t="s">
        <v>50</v>
      </c>
      <c r="M340" s="7">
        <v>162.34</v>
      </c>
      <c r="N340" s="6" t="s">
        <v>52</v>
      </c>
      <c r="O340" s="6">
        <v>0.88089508437270736</v>
      </c>
    </row>
    <row r="341" spans="1:15" x14ac:dyDescent="0.2">
      <c r="A341" s="6" t="s">
        <v>106</v>
      </c>
      <c r="B341" s="6" t="s">
        <v>107</v>
      </c>
      <c r="C341" s="6" t="s">
        <v>56</v>
      </c>
      <c r="D341" s="7">
        <v>532.52452830188679</v>
      </c>
      <c r="E341" s="7">
        <v>265</v>
      </c>
      <c r="F341" s="7">
        <v>61.200923787528858</v>
      </c>
      <c r="G341" s="6" t="s">
        <v>220</v>
      </c>
      <c r="H341" s="6">
        <v>1</v>
      </c>
      <c r="I341" s="16">
        <v>-6.4314457303966621E-2</v>
      </c>
      <c r="J341" s="16">
        <v>-6.4314457303966621E-2</v>
      </c>
      <c r="K341" s="6" t="s">
        <v>58</v>
      </c>
      <c r="L341" s="6" t="s">
        <v>63</v>
      </c>
      <c r="M341" s="7">
        <v>62.43333333333333</v>
      </c>
      <c r="N341" s="6" t="s">
        <v>52</v>
      </c>
      <c r="O341" s="6">
        <v>0.78837811589511164</v>
      </c>
    </row>
    <row r="342" spans="1:15" x14ac:dyDescent="0.2">
      <c r="A342" s="6" t="s">
        <v>755</v>
      </c>
      <c r="B342" s="6" t="s">
        <v>756</v>
      </c>
      <c r="C342" s="6" t="s">
        <v>56</v>
      </c>
      <c r="D342" s="7">
        <v>1199</v>
      </c>
      <c r="E342" s="7">
        <v>11</v>
      </c>
      <c r="F342" s="7">
        <v>2.5404157043879909</v>
      </c>
      <c r="G342" s="6" t="s">
        <v>260</v>
      </c>
      <c r="H342" s="6">
        <v>1</v>
      </c>
      <c r="I342" s="16">
        <v>0.65548563835151252</v>
      </c>
      <c r="J342" s="16">
        <v>0.65548563835151252</v>
      </c>
      <c r="K342" s="6" t="s">
        <v>58</v>
      </c>
      <c r="L342" s="6" t="s">
        <v>63</v>
      </c>
      <c r="M342" s="7">
        <v>359.7</v>
      </c>
      <c r="N342" s="6" t="s">
        <v>132</v>
      </c>
      <c r="O342" s="6"/>
    </row>
    <row r="343" spans="1:15" x14ac:dyDescent="0.2">
      <c r="A343" s="6" t="s">
        <v>757</v>
      </c>
      <c r="B343" s="6" t="s">
        <v>758</v>
      </c>
      <c r="C343" s="6" t="s">
        <v>56</v>
      </c>
      <c r="D343" s="7">
        <v>599</v>
      </c>
      <c r="E343" s="7">
        <v>57</v>
      </c>
      <c r="F343" s="7">
        <v>13.163972286374131</v>
      </c>
      <c r="G343" s="6" t="s">
        <v>220</v>
      </c>
      <c r="H343" s="6">
        <v>1</v>
      </c>
      <c r="I343" s="16">
        <v>1.3512588930780149</v>
      </c>
      <c r="J343" s="16">
        <v>1.3512588930780149</v>
      </c>
      <c r="K343" s="6" t="s">
        <v>58</v>
      </c>
      <c r="L343" s="6" t="s">
        <v>63</v>
      </c>
      <c r="M343" s="7">
        <v>41.28</v>
      </c>
      <c r="N343" s="6" t="s">
        <v>52</v>
      </c>
      <c r="O343" s="6"/>
    </row>
    <row r="344" spans="1:15" x14ac:dyDescent="0.2">
      <c r="A344" s="6" t="s">
        <v>759</v>
      </c>
      <c r="B344" s="6" t="s">
        <v>760</v>
      </c>
      <c r="C344" s="6" t="s">
        <v>56</v>
      </c>
      <c r="D344" s="7"/>
      <c r="E344" s="7"/>
      <c r="F344" s="7"/>
      <c r="G344" s="6"/>
      <c r="H344" s="6"/>
      <c r="I344" s="16"/>
      <c r="J344" s="16">
        <v>-1.08034578285814</v>
      </c>
      <c r="K344" s="6" t="s">
        <v>143</v>
      </c>
      <c r="L344" s="6" t="s">
        <v>50</v>
      </c>
      <c r="M344" s="7">
        <v>36</v>
      </c>
      <c r="N344" s="6" t="s">
        <v>52</v>
      </c>
      <c r="O344" s="6">
        <v>0.9222462203023758</v>
      </c>
    </row>
    <row r="345" spans="1:15" x14ac:dyDescent="0.2">
      <c r="A345" s="6" t="s">
        <v>761</v>
      </c>
      <c r="B345" s="6" t="s">
        <v>762</v>
      </c>
      <c r="C345" s="6" t="s">
        <v>56</v>
      </c>
      <c r="D345" s="7">
        <v>499</v>
      </c>
      <c r="E345" s="7">
        <v>180</v>
      </c>
      <c r="F345" s="7">
        <v>41.570438799076207</v>
      </c>
      <c r="G345" s="6" t="s">
        <v>220</v>
      </c>
      <c r="H345" s="6"/>
      <c r="I345" s="16"/>
      <c r="J345" s="16">
        <v>-1.273147819780216</v>
      </c>
      <c r="K345" s="6" t="s">
        <v>51</v>
      </c>
      <c r="L345" s="6" t="s">
        <v>50</v>
      </c>
      <c r="M345" s="7">
        <v>75.850000000000009</v>
      </c>
      <c r="N345" s="6" t="s">
        <v>52</v>
      </c>
      <c r="O345" s="6">
        <v>0.88482646420824296</v>
      </c>
    </row>
    <row r="346" spans="1:15" x14ac:dyDescent="0.2">
      <c r="A346" s="6" t="s">
        <v>763</v>
      </c>
      <c r="B346" s="6" t="s">
        <v>764</v>
      </c>
      <c r="C346" s="6" t="s">
        <v>56</v>
      </c>
      <c r="D346" s="7">
        <v>2599</v>
      </c>
      <c r="E346" s="7">
        <v>51</v>
      </c>
      <c r="F346" s="7">
        <v>11.77829099307159</v>
      </c>
      <c r="G346" s="6" t="s">
        <v>335</v>
      </c>
      <c r="H346" s="6"/>
      <c r="I346" s="16"/>
      <c r="J346" s="16">
        <v>-2.4226511382014659</v>
      </c>
      <c r="K346" s="6" t="s">
        <v>51</v>
      </c>
      <c r="L346" s="6" t="s">
        <v>50</v>
      </c>
      <c r="M346" s="7">
        <v>453.41</v>
      </c>
      <c r="N346" s="6" t="s">
        <v>52</v>
      </c>
      <c r="O346" s="6">
        <v>0.70147035205612607</v>
      </c>
    </row>
    <row r="347" spans="1:15" x14ac:dyDescent="0.2">
      <c r="A347" s="6" t="s">
        <v>112</v>
      </c>
      <c r="B347" s="6" t="s">
        <v>113</v>
      </c>
      <c r="C347" s="6" t="s">
        <v>49</v>
      </c>
      <c r="D347" s="7">
        <v>1149</v>
      </c>
      <c r="E347" s="7">
        <v>598</v>
      </c>
      <c r="F347" s="7">
        <v>138.1062355658199</v>
      </c>
      <c r="G347" s="6" t="s">
        <v>260</v>
      </c>
      <c r="H347" s="6">
        <v>1</v>
      </c>
      <c r="I347" s="16">
        <v>-0.78290550930127867</v>
      </c>
      <c r="J347" s="16">
        <v>-0.78290550930127867</v>
      </c>
      <c r="K347" s="6" t="s">
        <v>58</v>
      </c>
      <c r="L347" s="6" t="s">
        <v>63</v>
      </c>
      <c r="M347" s="7">
        <v>63.244615384615393</v>
      </c>
      <c r="N347" s="6" t="s">
        <v>52</v>
      </c>
      <c r="O347" s="6">
        <v>0.83855438521066206</v>
      </c>
    </row>
    <row r="348" spans="1:15" x14ac:dyDescent="0.2">
      <c r="A348" s="6" t="s">
        <v>765</v>
      </c>
      <c r="B348" s="6" t="s">
        <v>766</v>
      </c>
      <c r="C348" s="6" t="s">
        <v>56</v>
      </c>
      <c r="D348" s="7">
        <v>999</v>
      </c>
      <c r="E348" s="7">
        <v>27</v>
      </c>
      <c r="F348" s="7">
        <v>6.2355658198614314</v>
      </c>
      <c r="G348" s="6" t="s">
        <v>267</v>
      </c>
      <c r="H348" s="6">
        <v>1</v>
      </c>
      <c r="I348" s="16">
        <v>-0.58226184850206264</v>
      </c>
      <c r="J348" s="16">
        <v>-0.58226184850206264</v>
      </c>
      <c r="K348" s="6" t="s">
        <v>58</v>
      </c>
      <c r="L348" s="6" t="s">
        <v>63</v>
      </c>
      <c r="M348" s="7">
        <v>164</v>
      </c>
      <c r="N348" s="6" t="s">
        <v>52</v>
      </c>
      <c r="O348" s="6">
        <v>0.81737193763919824</v>
      </c>
    </row>
    <row r="349" spans="1:15" x14ac:dyDescent="0.2">
      <c r="A349" s="6" t="s">
        <v>767</v>
      </c>
      <c r="B349" s="6" t="s">
        <v>768</v>
      </c>
      <c r="C349" s="6" t="s">
        <v>56</v>
      </c>
      <c r="D349" s="7">
        <v>249</v>
      </c>
      <c r="E349" s="7">
        <v>25</v>
      </c>
      <c r="F349" s="7">
        <v>5.7736720554272516</v>
      </c>
      <c r="G349" s="6" t="s">
        <v>247</v>
      </c>
      <c r="H349" s="6"/>
      <c r="I349" s="16"/>
      <c r="J349" s="16">
        <v>-1.2244635497835541</v>
      </c>
      <c r="K349" s="6" t="s">
        <v>51</v>
      </c>
      <c r="L349" s="6" t="s">
        <v>50</v>
      </c>
      <c r="M349" s="7">
        <v>24</v>
      </c>
      <c r="N349" s="6" t="s">
        <v>52</v>
      </c>
      <c r="O349" s="6">
        <v>0.68376865671641796</v>
      </c>
    </row>
    <row r="350" spans="1:15" x14ac:dyDescent="0.2">
      <c r="A350" s="6" t="s">
        <v>769</v>
      </c>
      <c r="B350" s="6" t="s">
        <v>770</v>
      </c>
      <c r="C350" s="6" t="s">
        <v>56</v>
      </c>
      <c r="D350" s="7">
        <v>999</v>
      </c>
      <c r="E350" s="7">
        <v>24</v>
      </c>
      <c r="F350" s="7">
        <v>5.5427251732101617</v>
      </c>
      <c r="G350" s="6" t="s">
        <v>267</v>
      </c>
      <c r="H350" s="6"/>
      <c r="I350" s="16"/>
      <c r="J350" s="16">
        <v>-2.3697537837821541</v>
      </c>
      <c r="K350" s="6" t="s">
        <v>51</v>
      </c>
      <c r="L350" s="6" t="s">
        <v>50</v>
      </c>
      <c r="M350" s="7">
        <v>220.12375</v>
      </c>
      <c r="N350" s="6" t="s">
        <v>52</v>
      </c>
      <c r="O350" s="6">
        <v>0.83993182747807116</v>
      </c>
    </row>
    <row r="351" spans="1:15" x14ac:dyDescent="0.2">
      <c r="A351" s="6" t="s">
        <v>771</v>
      </c>
      <c r="B351" s="6" t="s">
        <v>772</v>
      </c>
      <c r="C351" s="6" t="s">
        <v>49</v>
      </c>
      <c r="D351" s="7">
        <v>5999</v>
      </c>
      <c r="E351" s="7">
        <v>94</v>
      </c>
      <c r="F351" s="7">
        <v>21.70900692840647</v>
      </c>
      <c r="G351" s="6" t="s">
        <v>335</v>
      </c>
      <c r="H351" s="6">
        <v>5</v>
      </c>
      <c r="I351" s="16">
        <v>-1.504740857521367</v>
      </c>
      <c r="J351" s="16">
        <v>-1.504740857521367</v>
      </c>
      <c r="K351" s="6" t="s">
        <v>58</v>
      </c>
      <c r="L351" s="6" t="s">
        <v>57</v>
      </c>
      <c r="M351" s="7">
        <v>2417.958666666666</v>
      </c>
      <c r="N351" s="6" t="s">
        <v>52</v>
      </c>
      <c r="O351" s="6">
        <v>0.49352424191936017</v>
      </c>
    </row>
    <row r="352" spans="1:15" x14ac:dyDescent="0.2">
      <c r="A352" s="6" t="s">
        <v>773</v>
      </c>
      <c r="B352" s="6" t="s">
        <v>774</v>
      </c>
      <c r="C352" s="6" t="s">
        <v>56</v>
      </c>
      <c r="D352" s="7"/>
      <c r="E352" s="7"/>
      <c r="F352" s="7"/>
      <c r="G352" s="6"/>
      <c r="H352" s="6"/>
      <c r="I352" s="16"/>
      <c r="J352" s="16">
        <v>-1.08034578285814</v>
      </c>
      <c r="K352" s="6" t="s">
        <v>143</v>
      </c>
      <c r="L352" s="6" t="s">
        <v>50</v>
      </c>
      <c r="M352" s="7">
        <v>130</v>
      </c>
      <c r="N352" s="6" t="s">
        <v>52</v>
      </c>
      <c r="O352" s="6">
        <v>0.79969183359013862</v>
      </c>
    </row>
    <row r="353" spans="1:15" x14ac:dyDescent="0.2">
      <c r="A353" s="6" t="s">
        <v>775</v>
      </c>
      <c r="B353" s="6" t="s">
        <v>776</v>
      </c>
      <c r="C353" s="6" t="s">
        <v>56</v>
      </c>
      <c r="D353" s="7">
        <v>650</v>
      </c>
      <c r="E353" s="7">
        <v>16</v>
      </c>
      <c r="F353" s="7">
        <v>3.695150115473441</v>
      </c>
      <c r="G353" s="6" t="s">
        <v>267</v>
      </c>
      <c r="H353" s="6"/>
      <c r="I353" s="16"/>
      <c r="J353" s="16">
        <v>-2.3697537837821541</v>
      </c>
      <c r="K353" s="6" t="s">
        <v>51</v>
      </c>
      <c r="L353" s="6" t="s">
        <v>50</v>
      </c>
      <c r="M353" s="7">
        <v>195</v>
      </c>
      <c r="N353" s="6" t="s">
        <v>132</v>
      </c>
      <c r="O353" s="6"/>
    </row>
    <row r="354" spans="1:15" x14ac:dyDescent="0.2">
      <c r="A354" s="6" t="s">
        <v>777</v>
      </c>
      <c r="B354" s="6" t="s">
        <v>778</v>
      </c>
      <c r="C354" s="6" t="s">
        <v>56</v>
      </c>
      <c r="D354" s="7">
        <v>800</v>
      </c>
      <c r="E354" s="7">
        <v>25</v>
      </c>
      <c r="F354" s="7">
        <v>5.7736720554272516</v>
      </c>
      <c r="G354" s="6" t="s">
        <v>267</v>
      </c>
      <c r="H354" s="6"/>
      <c r="I354" s="16"/>
      <c r="J354" s="16">
        <v>-2.3697537837821541</v>
      </c>
      <c r="K354" s="6" t="s">
        <v>51</v>
      </c>
      <c r="L354" s="6" t="s">
        <v>50</v>
      </c>
      <c r="M354" s="7">
        <v>160</v>
      </c>
      <c r="N354" s="6" t="s">
        <v>52</v>
      </c>
      <c r="O354" s="6">
        <v>0.77369165487977365</v>
      </c>
    </row>
    <row r="355" spans="1:15" x14ac:dyDescent="0.2">
      <c r="A355" s="6" t="s">
        <v>779</v>
      </c>
      <c r="B355" s="6" t="s">
        <v>780</v>
      </c>
      <c r="C355" s="6" t="s">
        <v>56</v>
      </c>
      <c r="D355" s="7"/>
      <c r="E355" s="7"/>
      <c r="F355" s="7"/>
      <c r="G355" s="6"/>
      <c r="H355" s="6"/>
      <c r="I355" s="16"/>
      <c r="J355" s="16">
        <v>-1.08034578285814</v>
      </c>
      <c r="K355" s="6" t="s">
        <v>143</v>
      </c>
      <c r="L355" s="6" t="s">
        <v>50</v>
      </c>
      <c r="M355" s="7">
        <v>2000.73</v>
      </c>
      <c r="N355" s="6" t="s">
        <v>52</v>
      </c>
      <c r="O355" s="6">
        <v>0.56105089951733222</v>
      </c>
    </row>
    <row r="356" spans="1:15" x14ac:dyDescent="0.2">
      <c r="A356" s="6" t="s">
        <v>781</v>
      </c>
      <c r="B356" s="6" t="s">
        <v>782</v>
      </c>
      <c r="C356" s="6" t="s">
        <v>49</v>
      </c>
      <c r="D356" s="7"/>
      <c r="E356" s="7"/>
      <c r="F356" s="7"/>
      <c r="G356" s="6"/>
      <c r="H356" s="6"/>
      <c r="I356" s="16"/>
      <c r="J356" s="16">
        <v>-1.384113661892663</v>
      </c>
      <c r="K356" s="6" t="s">
        <v>143</v>
      </c>
      <c r="L356" s="6" t="s">
        <v>50</v>
      </c>
      <c r="M356" s="7"/>
      <c r="N356" s="6" t="s">
        <v>132</v>
      </c>
      <c r="O356" s="6"/>
    </row>
    <row r="357" spans="1:15" x14ac:dyDescent="0.2">
      <c r="A357" s="6" t="s">
        <v>783</v>
      </c>
      <c r="B357" s="6" t="s">
        <v>784</v>
      </c>
      <c r="C357" s="6" t="s">
        <v>49</v>
      </c>
      <c r="D357" s="7"/>
      <c r="E357" s="7"/>
      <c r="F357" s="7"/>
      <c r="G357" s="6"/>
      <c r="H357" s="6"/>
      <c r="I357" s="16"/>
      <c r="J357" s="16">
        <v>-1.384113661892663</v>
      </c>
      <c r="K357" s="6" t="s">
        <v>143</v>
      </c>
      <c r="L357" s="6" t="s">
        <v>50</v>
      </c>
      <c r="M357" s="7"/>
      <c r="N357" s="6" t="s">
        <v>132</v>
      </c>
      <c r="O357" s="6"/>
    </row>
    <row r="358" spans="1:15" x14ac:dyDescent="0.2">
      <c r="A358" s="6" t="s">
        <v>785</v>
      </c>
      <c r="B358" s="6" t="s">
        <v>786</v>
      </c>
      <c r="C358" s="6" t="s">
        <v>49</v>
      </c>
      <c r="D358" s="7"/>
      <c r="E358" s="7"/>
      <c r="F358" s="7"/>
      <c r="G358" s="6"/>
      <c r="H358" s="6"/>
      <c r="I358" s="16"/>
      <c r="J358" s="16">
        <v>-1.384113661892663</v>
      </c>
      <c r="K358" s="6" t="s">
        <v>143</v>
      </c>
      <c r="L358" s="6" t="s">
        <v>50</v>
      </c>
      <c r="M358" s="7"/>
      <c r="N358" s="6" t="s">
        <v>132</v>
      </c>
      <c r="O358" s="6"/>
    </row>
    <row r="359" spans="1:15" x14ac:dyDescent="0.2">
      <c r="A359" s="6" t="s">
        <v>787</v>
      </c>
      <c r="B359" s="6" t="s">
        <v>788</v>
      </c>
      <c r="C359" s="6" t="s">
        <v>49</v>
      </c>
      <c r="D359" s="7">
        <v>500</v>
      </c>
      <c r="E359" s="7">
        <v>52</v>
      </c>
      <c r="F359" s="7">
        <v>12.009237875288679</v>
      </c>
      <c r="G359" s="6" t="s">
        <v>220</v>
      </c>
      <c r="H359" s="6"/>
      <c r="I359" s="16"/>
      <c r="J359" s="16">
        <v>-0.79078567053692428</v>
      </c>
      <c r="K359" s="6" t="s">
        <v>51</v>
      </c>
      <c r="L359" s="6" t="s">
        <v>50</v>
      </c>
      <c r="M359" s="7">
        <v>138.05000000000001</v>
      </c>
      <c r="N359" s="6" t="s">
        <v>52</v>
      </c>
      <c r="O359" s="6">
        <v>0.57354969574036507</v>
      </c>
    </row>
    <row r="360" spans="1:15" x14ac:dyDescent="0.2">
      <c r="A360" s="6" t="s">
        <v>789</v>
      </c>
      <c r="B360" s="6" t="s">
        <v>790</v>
      </c>
      <c r="C360" s="6" t="s">
        <v>49</v>
      </c>
      <c r="D360" s="7">
        <v>2599</v>
      </c>
      <c r="E360" s="7">
        <v>114</v>
      </c>
      <c r="F360" s="7">
        <v>26.327944572748269</v>
      </c>
      <c r="G360" s="6" t="s">
        <v>335</v>
      </c>
      <c r="H360" s="6"/>
      <c r="I360" s="16"/>
      <c r="J360" s="16">
        <v>-1.504740857521367</v>
      </c>
      <c r="K360" s="6" t="s">
        <v>51</v>
      </c>
      <c r="L360" s="6" t="s">
        <v>50</v>
      </c>
      <c r="M360" s="7">
        <v>915.75</v>
      </c>
      <c r="N360" s="6" t="s">
        <v>52</v>
      </c>
      <c r="O360" s="6">
        <v>0.48007040876197932</v>
      </c>
    </row>
    <row r="361" spans="1:15" x14ac:dyDescent="0.2">
      <c r="A361" s="6" t="s">
        <v>791</v>
      </c>
      <c r="B361" s="6" t="s">
        <v>792</v>
      </c>
      <c r="C361" s="6" t="s">
        <v>49</v>
      </c>
      <c r="D361" s="7">
        <v>3199</v>
      </c>
      <c r="E361" s="7">
        <v>28</v>
      </c>
      <c r="F361" s="7">
        <v>6.4665127020785222</v>
      </c>
      <c r="G361" s="6" t="s">
        <v>335</v>
      </c>
      <c r="H361" s="6"/>
      <c r="I361" s="16"/>
      <c r="J361" s="16">
        <v>-1.504740857521367</v>
      </c>
      <c r="K361" s="6" t="s">
        <v>51</v>
      </c>
      <c r="L361" s="6" t="s">
        <v>50</v>
      </c>
      <c r="M361" s="7">
        <v>1101.72</v>
      </c>
      <c r="N361" s="6" t="s">
        <v>52</v>
      </c>
      <c r="O361" s="6">
        <v>0.40825158210760498</v>
      </c>
    </row>
    <row r="362" spans="1:15" x14ac:dyDescent="0.2">
      <c r="A362" s="6" t="s">
        <v>793</v>
      </c>
      <c r="B362" s="6" t="s">
        <v>794</v>
      </c>
      <c r="C362" s="6" t="s">
        <v>49</v>
      </c>
      <c r="D362" s="7">
        <v>650</v>
      </c>
      <c r="E362" s="7">
        <v>12</v>
      </c>
      <c r="F362" s="7">
        <v>2.7713625866050808</v>
      </c>
      <c r="G362" s="6" t="s">
        <v>267</v>
      </c>
      <c r="H362" s="6"/>
      <c r="I362" s="16"/>
      <c r="J362" s="16">
        <v>-2.6197664336783242</v>
      </c>
      <c r="K362" s="6" t="s">
        <v>51</v>
      </c>
      <c r="L362" s="6" t="s">
        <v>50</v>
      </c>
      <c r="M362" s="7">
        <v>209.2</v>
      </c>
      <c r="N362" s="6" t="s">
        <v>52</v>
      </c>
      <c r="O362" s="6">
        <v>0.65191347753743756</v>
      </c>
    </row>
    <row r="363" spans="1:15" x14ac:dyDescent="0.2">
      <c r="A363" s="6" t="s">
        <v>795</v>
      </c>
      <c r="B363" s="6" t="s">
        <v>796</v>
      </c>
      <c r="C363" s="6" t="s">
        <v>49</v>
      </c>
      <c r="D363" s="7"/>
      <c r="E363" s="7"/>
      <c r="F363" s="7"/>
      <c r="G363" s="6"/>
      <c r="H363" s="6"/>
      <c r="I363" s="16"/>
      <c r="J363" s="16">
        <v>-1.384113661892663</v>
      </c>
      <c r="K363" s="6" t="s">
        <v>143</v>
      </c>
      <c r="L363" s="6" t="s">
        <v>50</v>
      </c>
      <c r="M363" s="7"/>
      <c r="N363" s="6" t="s">
        <v>132</v>
      </c>
      <c r="O363" s="6"/>
    </row>
    <row r="364" spans="1:15" x14ac:dyDescent="0.2">
      <c r="A364" s="6" t="s">
        <v>797</v>
      </c>
      <c r="B364" s="6" t="s">
        <v>798</v>
      </c>
      <c r="C364" s="6" t="s">
        <v>49</v>
      </c>
      <c r="D364" s="7"/>
      <c r="E364" s="7"/>
      <c r="F364" s="7"/>
      <c r="G364" s="6"/>
      <c r="H364" s="6"/>
      <c r="I364" s="16"/>
      <c r="J364" s="16">
        <v>-1.384113661892663</v>
      </c>
      <c r="K364" s="6" t="s">
        <v>143</v>
      </c>
      <c r="L364" s="6" t="s">
        <v>50</v>
      </c>
      <c r="M364" s="7"/>
      <c r="N364" s="6" t="s">
        <v>132</v>
      </c>
      <c r="O364" s="6"/>
    </row>
    <row r="365" spans="1:15" x14ac:dyDescent="0.2">
      <c r="A365" s="6" t="s">
        <v>799</v>
      </c>
      <c r="B365" s="6" t="s">
        <v>800</v>
      </c>
      <c r="C365" s="6" t="s">
        <v>49</v>
      </c>
      <c r="D365" s="7"/>
      <c r="E365" s="7"/>
      <c r="F365" s="7"/>
      <c r="G365" s="6"/>
      <c r="H365" s="6"/>
      <c r="I365" s="16"/>
      <c r="J365" s="16">
        <v>-1.384113661892663</v>
      </c>
      <c r="K365" s="6" t="s">
        <v>143</v>
      </c>
      <c r="L365" s="6" t="s">
        <v>50</v>
      </c>
      <c r="M365" s="7"/>
      <c r="N365" s="6" t="s">
        <v>132</v>
      </c>
      <c r="O365" s="6"/>
    </row>
    <row r="366" spans="1:15" x14ac:dyDescent="0.2">
      <c r="A366" s="6" t="s">
        <v>801</v>
      </c>
      <c r="B366" s="6" t="s">
        <v>802</v>
      </c>
      <c r="C366" s="6" t="s">
        <v>49</v>
      </c>
      <c r="D366" s="7">
        <v>499</v>
      </c>
      <c r="E366" s="7">
        <v>29</v>
      </c>
      <c r="F366" s="7">
        <v>6.6974595842956122</v>
      </c>
      <c r="G366" s="6" t="s">
        <v>220</v>
      </c>
      <c r="H366" s="6"/>
      <c r="I366" s="16"/>
      <c r="J366" s="16">
        <v>-0.79078567053692428</v>
      </c>
      <c r="K366" s="6" t="s">
        <v>51</v>
      </c>
      <c r="L366" s="6" t="s">
        <v>50</v>
      </c>
      <c r="M366" s="7">
        <v>18.93</v>
      </c>
      <c r="N366" s="6" t="s">
        <v>52</v>
      </c>
      <c r="O366" s="6">
        <v>-1.007727272727273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Weekly Action List</vt:lpstr>
      <vt:lpstr>Sheet2</vt:lpstr>
      <vt:lpstr>Sheet1</vt:lpstr>
      <vt:lpstr>Flagged - No Action</vt:lpstr>
      <vt:lpstr>Full Package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Corporate Sales1</cp:lastModifiedBy>
  <dcterms:created xsi:type="dcterms:W3CDTF">2026-08-08T10:54:48Z</dcterms:created>
  <dcterms:modified xsi:type="dcterms:W3CDTF">2026-08-21T08:07:30Z</dcterms:modified>
</cp:coreProperties>
</file>